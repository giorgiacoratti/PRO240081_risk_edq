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tengroup-my.sharepoint.com/personal/giorgia_coratti_alten_it/Documents/"/>
    </mc:Choice>
  </mc:AlternateContent>
  <xr:revisionPtr revIDLastSave="161" documentId="14_{DB8EF83E-3E3D-490A-A2B1-1D02701AAC43}" xr6:coauthVersionLast="47" xr6:coauthVersionMax="47" xr10:uidLastSave="{ECF66485-D699-4F21-A9FC-5EE2618746FE}"/>
  <bookViews>
    <workbookView xWindow="-120" yWindow="-120" windowWidth="29040" windowHeight="15720" firstSheet="2" activeTab="2" xr2:uid="{00000000-000D-0000-FFFF-FFFF00000000}"/>
  </bookViews>
  <sheets>
    <sheet name="Test List" sheetId="7" r:id="rId1"/>
    <sheet name="Dubbi" sheetId="8" r:id="rId2"/>
    <sheet name="Design" sheetId="1" r:id="rId3"/>
    <sheet name="Funzionalità" sheetId="3" r:id="rId4"/>
    <sheet name="PTA" sheetId="4" r:id="rId5"/>
    <sheet name="Data Validation" sheetId="6" r:id="rId6"/>
  </sheets>
  <definedNames>
    <definedName name="_xlnm._FilterDatabase" localSheetId="2" hidden="1">Design!$A$1:$W$376</definedName>
    <definedName name="AuthorValidation">OFFSET(#REF!,0,0,COUNTA(#REF!),1)</definedName>
    <definedName name="DesignStatusValidation">OFFSET(#REF!,0,0,COUNTA(#REF!),1)</definedName>
    <definedName name="ISAValidation">OFFSET(#REF!,0,0,COUNTA(#REF!),1)</definedName>
    <definedName name="PosNegValidation">OFFSET(#REF!,0,0,COUNTA(#REF!),1)</definedName>
    <definedName name="PriorityValidation">OFFSET(#REF!,0,0,COUNTA(#REF!),1)</definedName>
    <definedName name="RiskAreaValidation">OFFSET(#REF!,0,0,COUNTA(#REF!),1)</definedName>
    <definedName name="TestLevelValidation">OFFSET(#REF!,0,0,COUNTA(#REF!),1)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4" l="1" a="1"/>
  <c r="A2" i="4" s="1"/>
  <c r="L2" i="3" a="1"/>
  <c r="L2" i="3" s="1"/>
  <c r="M2" i="1" a="1"/>
  <c r="M2" i="1" l="1"/>
  <c r="K2" i="3" l="1" a="1"/>
  <c r="K2" i="3" s="1"/>
  <c r="M2" i="3" l="1" a="1"/>
  <c r="M2" i="3" s="1"/>
  <c r="J2" i="3" a="1"/>
  <c r="J2" i="3" s="1"/>
  <c r="F2" i="3" a="1"/>
  <c r="F2" i="3" s="1"/>
  <c r="I2" i="3" a="1"/>
  <c r="I2" i="3" s="1"/>
  <c r="D2" i="3" a="1"/>
  <c r="D2" i="3" s="1"/>
  <c r="C2" i="3" a="1"/>
  <c r="C2" i="3" s="1"/>
  <c r="B2" i="4" s="1" a="1"/>
  <c r="B2" i="4" s="1"/>
  <c r="B16" i="4" s="1"/>
  <c r="B2" i="3" a="1"/>
  <c r="B2" i="3" s="1"/>
  <c r="E2" i="3" a="1"/>
  <c r="E2" i="3" s="1"/>
  <c r="G2" i="3" a="1"/>
  <c r="G2" i="3" s="1"/>
  <c r="A2" i="3" a="1"/>
  <c r="A2" i="3" s="1"/>
  <c r="H2" i="3" a="1"/>
  <c r="H2" i="3" s="1"/>
  <c r="C2" i="4" l="1" a="1"/>
  <c r="C2" i="4" s="1"/>
  <c r="C16" i="4" s="1"/>
  <c r="D2" i="4" a="1"/>
  <c r="D2" i="4" s="1"/>
  <c r="D16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<sst xmlns="http://schemas.openxmlformats.org/spreadsheetml/2006/main" count="410" uniqueCount="207">
  <si>
    <t>Path Test Set</t>
  </si>
  <si>
    <t>Test case ID</t>
  </si>
  <si>
    <t>Nome Test</t>
  </si>
  <si>
    <t>Descrizione Test</t>
  </si>
  <si>
    <t>Livello di Test</t>
  </si>
  <si>
    <t>Area di Rischio</t>
  </si>
  <si>
    <t>Istanza Servizio Tecnologico</t>
  </si>
  <si>
    <t>Istanza Servizio Applicativo</t>
  </si>
  <si>
    <t>Sistema</t>
  </si>
  <si>
    <t>Application</t>
  </si>
  <si>
    <t>Positivo/Negativo</t>
  </si>
  <si>
    <t>Precondizione</t>
  </si>
  <si>
    <t>Id Step</t>
  </si>
  <si>
    <t>Descrizione Step</t>
  </si>
  <si>
    <t>Risultato Atteso</t>
  </si>
  <si>
    <t>Post Condizione</t>
  </si>
  <si>
    <t>Priorità</t>
  </si>
  <si>
    <t>Stato progettazione</t>
  </si>
  <si>
    <t>Data Creazione</t>
  </si>
  <si>
    <t>Autore</t>
  </si>
  <si>
    <t>Modalità di Test</t>
  </si>
  <si>
    <t>Flag  Regression Test</t>
  </si>
  <si>
    <t>Dipendenza tra Test case</t>
  </si>
  <si>
    <t>ID001</t>
  </si>
  <si>
    <t>Descrizione Funzionalità</t>
  </si>
  <si>
    <t>Categoria</t>
  </si>
  <si>
    <t>Applicazione</t>
  </si>
  <si>
    <t>Stato revisione</t>
  </si>
  <si>
    <t>Info aggiuntive</t>
  </si>
  <si>
    <t>ID TEST</t>
  </si>
  <si>
    <t>Istanza di servizio applicativo</t>
  </si>
  <si>
    <t>TOTALI</t>
  </si>
  <si>
    <t>DONE</t>
  </si>
  <si>
    <t>DRAFT</t>
  </si>
  <si>
    <t>TOTALE COMPLESSIVO</t>
  </si>
  <si>
    <t xml:space="preserve">• Pieno
   ▹ "" 
        ▪ "" </t>
  </si>
  <si>
    <t>Positivo</t>
  </si>
  <si>
    <t>Urgent</t>
  </si>
  <si>
    <t>Draft</t>
  </si>
  <si>
    <t>Andrea Mazzoni</t>
  </si>
  <si>
    <t>=INDIRETTO(CODICE.CARATT(64+RIF.COLONNA())&amp;(RIF.RIGA()-1))</t>
  </si>
  <si>
    <t>ID002</t>
  </si>
  <si>
    <t>Negativo</t>
  </si>
  <si>
    <t>High</t>
  </si>
  <si>
    <t>Done</t>
  </si>
  <si>
    <t>Medium</t>
  </si>
  <si>
    <t>Low</t>
  </si>
  <si>
    <t>PRO240081\TestTecnici\ModernizzazionePortali\RiskEdq\ControlliSecondoLivello\TemplatesV1Controller</t>
  </si>
  <si>
    <t>PRO240081\TestTecnici\ModernizzazionePortali\RiskEdq\ControlliSecondoLivello\SummariesV1Controller</t>
  </si>
  <si>
    <t>PRO240081\TestTecnici\ModernizzazionePortali\RiskEdq\ControlliSecondoLivello\ResultsV1Controller</t>
  </si>
  <si>
    <t>PRO240081\TestTecnici\ModernizzazionePortali\RiskEdq\ControlliSecondoLivello\WaiverV1Controller</t>
  </si>
  <si>
    <t>PRO240081\TestTecnici\ModernizzazionePortali\RiskEdq\ControlliSecondoLivello\LegalEntitiesV1Controller</t>
  </si>
  <si>
    <t>POST_TemplateExport</t>
  </si>
  <si>
    <t>GET_TemplateNote</t>
  </si>
  <si>
    <t>PUT_TemplateNote</t>
  </si>
  <si>
    <t>POST_TradedInstrumentsSearch</t>
  </si>
  <si>
    <t>POST_HeldInstrumentsSearch</t>
  </si>
  <si>
    <t>POST_TemplateASearch</t>
  </si>
  <si>
    <t>POST_TemplateBSearch</t>
  </si>
  <si>
    <t>GET_TemplateBWaivers</t>
  </si>
  <si>
    <t>PUT_SummaryAnswers</t>
  </si>
  <si>
    <t>PUT_SubSectionQuestions</t>
  </si>
  <si>
    <t>PUT_SubSectionAnswers</t>
  </si>
  <si>
    <t>GET_SummariesId</t>
  </si>
  <si>
    <t>PUT_SummariesNote</t>
  </si>
  <si>
    <t>POST_Summaries</t>
  </si>
  <si>
    <t>POST_SummariesPublish</t>
  </si>
  <si>
    <t>POST_SummariesExport</t>
  </si>
  <si>
    <t>GET_SummariesPrint</t>
  </si>
  <si>
    <t>GET_SummariesSubSection</t>
  </si>
  <si>
    <t>GET_SummariesStats</t>
  </si>
  <si>
    <t>GET_SummariesStatsDate</t>
  </si>
  <si>
    <t>GET_SummariesLogs</t>
  </si>
  <si>
    <t>GET_SummariesAnswers</t>
  </si>
  <si>
    <t>PUT_SummariesState</t>
  </si>
  <si>
    <t>GET_Results</t>
  </si>
  <si>
    <t>PUT_Results</t>
  </si>
  <si>
    <t>POST_ResultsSearch</t>
  </si>
  <si>
    <t>POST_WaiverSearc</t>
  </si>
  <si>
    <t>POST_TargetSearch</t>
  </si>
  <si>
    <t>POST_CwmtoSearch</t>
  </si>
  <si>
    <t>GET_CwmtoAssessments</t>
  </si>
  <si>
    <t>POST_LegalEntitiesSearch</t>
  </si>
  <si>
    <t>Lanciando la chiamata GET
/v1/riskaudit/summaries/results
si ottiene 200 OK con response body 
ResultsItemDTO</t>
  </si>
  <si>
    <t>Integration</t>
  </si>
  <si>
    <t>Tecnico</t>
  </si>
  <si>
    <t>Lanciare la chiamata GET
/v1/riskaudit/summaries/results</t>
  </si>
  <si>
    <t>STATUS: 200 OK
RESPONSE BODY: ResultsItemDTO
[
  {
    "id": 0,
    "name": "string"
  }
]</t>
  </si>
  <si>
    <t>Coratti Giorgia</t>
  </si>
  <si>
    <t>Lanciando la chiamata PUT
/v1/riskaudit/summaries/results
con request body ResultUpdateDTO,
si ottiene 200 OK con response body GenericResponse</t>
  </si>
  <si>
    <t>Lanciare la chiamata PUT
/v1/riskaudit/summaries/results
con request body ResultUpdateDTO
{
  "results": [
    {
      "resultId": 0,
      "regScore": {
        "minScore": 0,
        "maxScore": 0
      },
      "virScore": {
        "minScore": 0,
        "maxScore": 0
      }
    }
  ]
}</t>
  </si>
  <si>
    <t>STATUS: 200 OK
RESPONSE BODY: GenericResponse
{
  "id": 0
}</t>
  </si>
  <si>
    <t>Lanciando la chiamata POST
/v1/riskaudit/summaries/results/search
con request body SearchParameters,
si ottiene 200 OK con response body
ListResultResultsSearchDTO</t>
  </si>
  <si>
    <t>Lanciare la chiamata POST
/v1/riskaudit/summaries/results/search
con request body SearchParameters
{
  "skip": 0,
  "sort": [
    {
      "field": "string",
      "dir": "asc",
      "ignoreCase": true
    }
  ],
  "take": 0,
  "filter": {
    "logic": "and",
    "filters": [
      {
        "field": "string",
        "ignoreCase": true,
        "operator": "eq",
        "value": {},
        "boolean": true,
        "date": true,
        "localDate": true,
        "timestamp": true,
        "isoDate": true
      }
    ]
  }
}</t>
  </si>
  <si>
    <t>STATUS: 200 OK
RESPONSE BODY: ListResultResultsSearchDTO
{
  "data": [
    {
      "resultId": 0,
      "resultName": "string",
      "regScore": {
        "minScore": 0,
        "maxScore": 0
      },
      "virScore": {
        "minScore": 0,
        "maxScore": 0
      }
    }
  ],
  "total": 0
}</t>
  </si>
  <si>
    <t>Lanciando la chiamata POST
/v1/riskaudit/waiver/waiver/search
con request body SearchParameters,
si ottiene 200 OK con response body ListResultWaiverSearchDTO</t>
  </si>
  <si>
    <t>Lanciare la chiamata POST
/v1/riskaudit/waiver/waiver/search
con request body SearchParameters
{
  "skip": 0,
  "sort": [
    {
      "field": "string",
      "dir": "asc",
      "ignoreCase": true
    }
  ],
  "take": 0,
  "filter": {
    "logic": "and",
    "filters": [
      {
        "field": "string",
        "ignoreCase": true,
        "operator": "eq",
        "value": {},
        "boolean": true,
        "date": true,
        "localDate": true,
        "timestamp": true,
        "isoDate": true
      }
    ]
  }
}</t>
  </si>
  <si>
    <t>STATUS: 200 OK
RESPONSE BODY: ListResultWaiverSearchDTO
{
  "data": [
    {
      "date": "2026-04-28T10:29:35.120Z",
      "legalEntity": {
        "abi": "string",
        "name": "string"
      },
      "threshold": "string",
      "waiver": "string",
      "emailSentDate": "2026-04-28T10:29:35.120Z",
      "note": "string",
      "creationDate": "2026-04-28T10:29:35.120Z"
    }
  ],
  "total": 0
}</t>
  </si>
  <si>
    <t>Lanciando la chiamata POST
/v1/riskaudit/waiver/target/search
con request body SearchParameters,
si ottiene 200 OK con response body ListResultTargetSearchDTO</t>
  </si>
  <si>
    <t>Lanciare la chiamata POST
/v1/riskaudit/waiver/target/search
con request body SearchParameters
{
  "skip": 0,
  "sort": [
    {
      "field": "string",
      "dir": "asc",
      "ignoreCase": true
    }
  ],
  "take": 0,
  "filter": {
    "logic": "and",
    "filters": [
      {
        "field": "string",
        "ignoreCase": true,
        "operator": "eq",
        "value": {},
        "boolean": true,
        "date": true,
        "localDate": true,
        "timestamp": true,
        "isoDate": true
      }
    ]
  }
}</t>
  </si>
  <si>
    <t>STATUS: 200 OK
RESPONSE BODY: ListResultTargetSearchDTO
{
  "data": [
    {
      "date": "2026-04-28T10:31:23.203Z",
      "legalEntity": {
        "abi": "string",
        "name": "string"
      },
      "strategicTarget": "string",
      "thresholdCrossed": true,
      "onTimeReporting": true,
      "waiver": "string",
      "financialOutcome": "string",
      "note": "string",
      "creationDate": "2026-04-28T10:31:23.203Z"
    }
  ],
  "total": 0
}</t>
  </si>
  <si>
    <t>Lanciando la chiamata POST
/v1/riskaudit/waiver/cwmto/search
con request body SearchParameters,
si ottiene 200 OK con response body ListResultCwmtoSearchDTO</t>
  </si>
  <si>
    <t>Lanciare la chiamata POST
/v1/riskaudit/waiver/cwmto/search
con request body SearchParameters 
{
  "skip": 0,
  "sort": [
    {
      "field": "string",
      "dir": "asc",
      "ignoreCase": true
    }
  ],
  "take": 0,
  "filter": {
    "logic": "and",
    "filters": [
      {
        "field": "string",
        "ignoreCase": true,
        "operator": "eq",
        "value": {},
        "boolean": true,
        "date": true,
        "localDate": true,
        "timestamp": true,
        "isoDate": true
      }
    ]
  }
}</t>
  </si>
  <si>
    <t>STATUS: 200 OK
RESPONSE BODY: ListResultCwmtoSearchDTO
{
  "data": [
    {
      "date": "2026-04-28T10:32:46.564Z",
      "legalEntity": {
        "abi": "string",
        "name": "string"
      },
      "refYear": 0,
      "assessmentType": "string",
      "note": "string",
      "creationDate": "2026-04-28T10:32:46.564Z"
    }
  ],
  "total": 0
}</t>
  </si>
  <si>
    <t>Lanciando la chiamata GET
/v1/riskaudit/waiver/cwmto/assessments
si ottiene 200 OK con response body un array di stringhe</t>
  </si>
  <si>
    <t>Lanciare la chiamata GET
/v1/riskaudit/waiver/cwmto/assessments</t>
  </si>
  <si>
    <t>STATUS: 200 OK
RESPONSE BODY: un array di stringhe</t>
  </si>
  <si>
    <t>Lanciando la chiamata POST
/v1/riskaudit/legalEntities/search
con request body SearchParameters,
si ottiene 200 OK con response body ListResultLegalEntityDTO</t>
  </si>
  <si>
    <t>Lanciare la chiamata POST
/v1/riskaudit/legalEntities/search
con request body SearchParameters
{
  "skip": 0,
  "sort": [
    {
      "field": "string",
      "dir": "asc",
      "ignoreCase": true
    }
  ],
  "take": 0,
  "filter": {
    "logic": "and",
    "filters": [
      {
        "field": "string",
        "ignoreCase": true,
        "operator": "eq",
        "value": {},
        "boolean": true,
        "date": true,
        "localDate": true,
        "timestamp": true,
        "isoDate": true
      }
    ]
  }
}</t>
  </si>
  <si>
    <t>STATUS: 200 OK
RESPONSE BODY: ListResultLegalEntityDTO
{
  "data": [
    {
      "abi": "string",
      "name": "string"
    }
  ],
  "total": 0
}</t>
  </si>
  <si>
    <t>POST_SummariesSearch</t>
  </si>
  <si>
    <t>Lanciando la chiamata GET
/v1/riskaudit/{abi}/templates/{template}/note
si ottiene 200 OK con response body TemplateDTO</t>
  </si>
  <si>
    <t>Lanciare la chiamata GET
/v1/riskaudit/{abi}/templates/{template}/note</t>
  </si>
  <si>
    <t>STATUS: 200 OK
RESPONSE BODY: TemplateDTO
{
  "id": "string",
  "note": "string"
}</t>
  </si>
  <si>
    <t>Lanciando la chiamata PUT
/v1/riskaudit/{abi}/templates/{template}/note
con request body NoteCreateDTO
si ottiene 200 OK con response body GenericResponse</t>
  </si>
  <si>
    <t>Lanciare la chiamata PUT
/v1/riskaudit/{abi}/templates/{template}/note
con request body NoteCreateDTO
{
  "value": "string"
}</t>
  </si>
  <si>
    <t>Lanciando la chiamata POST
/v1/riskaudit/{abi}/templates/{template}/export
con request body SearchParameters,
si ottiene 200 OK con response body una stringa</t>
  </si>
  <si>
    <t>Lanciare la chiamata POST
/v1/riskaudit/{abi}/templates/{template}/export
con request body SearchParameters
{
  "skip": 0,
  "sort": [
    {
      "field": "string",
      "dir": "asc",
      "ignoreCase": true
    }
  ],
  "take": 0,
  "filter": {
    "logic": "and",
    "filters": [
      {
        "field": "string",
        "ignoreCase": true,
        "operator": "eq",
        "value": {},
        "boolean": true,
        "date": true,
        "localDate": true,
        "timestamp": true,
        "isoDate": true
      }
    ]
  }
}</t>
  </si>
  <si>
    <t>STATUS: 200 OK
RESPONSE BODY: una stringa</t>
  </si>
  <si>
    <t>Lanciando la chiamata POST
/v1/riskaudit/{abi}/templates/templateC/traded-instruments/search
con parametro di query non obbligatorio e request body SearchParameters,
si ottiene 200 OK con response body ListResultTemplateCTradedInstrumentsSearchDTO</t>
  </si>
  <si>
    <t>STATUS: 200 OK
RESPONSE BODY: ListResultTemplateCTradedInstrumentsSearchDTO
{
  "data": [
    {
      "operationDate": "2026-04-29T13:51:23.201Z",
      "isin": "string",
      "security": "string",
      "direction": "string",
      "amountEuros": "string",
      "intermediary": "string"
    }
  ],
  "total": 0
}</t>
  </si>
  <si>
    <t>Lanciando la chiamata POST
/v1/riskaudit/{abi}/templates/templateC/held-instruments/search
con parametro di query non obbligatorio e request body SearchParameters,
si ottiene 200 OK con response body ListResultTemplateCHeldInstrumentsSearchDTO</t>
  </si>
  <si>
    <t>Lanciare la chiamata POST
/v1/riskaudit/{abi}/templates/templateC/held-instruments/search
con parametro di query non obbligatorio 
{
"summaryId": str
}
e request body SearchParameters{
  "skip": 0,
  "sort": [
    {
      "field": "string",
      "dir": "asc",
      "ignoreCase": true
    }
  ],
  "take": 0,
  "filter": {
    "logic": "and",
    "filters": [
      {
        "field": "string",
        "ignoreCase": true,
        "operator": "eq",
        "value": {},
        "boolean": true,
        "date": true,
        "localDate": true,
        "timestamp": true,
        "isoDate": true
      }
    ]
  }
}</t>
  </si>
  <si>
    <t>Lanciare la chiamata POST
/v1/riskaudit/{abi}/templates/templateC/traded-instruments/search
con parametro di query non obbligatorio
{
"summaryId": str
} 
e request body SearchParameters{
  "skip": 0,
  "sort": [
    {
      "field": "string",
      "dir": "asc",
      "ignoreCase": true
    }
  ],
  "take": 0,
  "filter": {
    "logic": "and",
    "filters": [
      {
        "field": "string",
        "ignoreCase": true,
        "operator": "eq",
        "value": {},
        "boolean": true,
        "date": true,
        "localDate": true,
        "timestamp": true,
        "isoDate": true
      }
    ]
  }
}</t>
  </si>
  <si>
    <t>STATUS: 200 OK
RESPONSE BODY: ListResultTemplateCHeldInstrumentsSearchDTO
{
  "data": [
    {
      "balanceDate": "2026-04-29T13:53:25.692Z",
      "isin": "string",
      "security": "string",
      "amountEuros": 0,
      "depositary": "string"
    }
  ],
  "total": 0
}</t>
  </si>
  <si>
    <t>Lanciando la chiamata POST
/v1/riskaudit/{abi}/templates/templateB/search
con parametro di query non obbligatorio e request body SearchParameters,
si ottiene 200 OK con response body
ListResultTemplateBSearchDTO</t>
  </si>
  <si>
    <t>Lanciare la chiamata POST
/v1/riskaudit/{abi}/templates/templateB/search
con parametro di query non obbligatorio 
{
"summaryId": str
}
e request body SearchParameters{
  "skip": 0,
  "sort": [
    {
      "field": "string",
      "dir": "asc",
      "ignoreCase": true
    }
  ],
  "take": 0,
  "filter": {
    "logic": "and",
    "filters": [
      {
        "field": "string",
        "ignoreCase": true,
        "operator": "eq",
        "value": {},
        "boolean": true,
        "date": true,
        "localDate": true,
        "timestamp": true,
        "isoDate": true
      }
    ]
  }
}</t>
  </si>
  <si>
    <t>Lanciando la chiamata POST
/v1/riskaudit/{abi}/templates/templateA/search
con parametro di query non obbligatorio e request body SearchParameters,
si ottiene 200 OK con response body ListResultTemplateASearchDTO</t>
  </si>
  <si>
    <t>Lanciare la chiamata POST
/v1/riskaudit/{abi}/templates/templateA/search
con parametro di query non obbligatorio 
{
"summaryId": str
}
e request body SearchParameters
{
  "skip": 0,
  "sort": [
    {
      "field": "string",
      "dir": "asc",
      "ignoreCase": true
    }
  ],
  "take": 0,
  "filter": {
    "logic": "and",
    "filters": [
      {
        "field": "string",
        "ignoreCase": true,
        "operator": "eq",
        "value": {},
        "boolean": true,
        "date": true,
        "localDate": true,
        "timestamp": true,
        "isoDate": true
      }
    ]
  }
}</t>
  </si>
  <si>
    <t>STATUS: 200 OK
RESPONSE BODY: ListResultTemplateASearchDTO
{
  "data": [
    {
      "id": 0,
      "date": "2026-04-29T13:56:49.213Z",
      "isin": "string",
      "description": "string",
      "nozionale": "string",
      "ptf_htc": 0,
      "getaCase": "string",
      "frequency": {
        "limit": 0,
        "value": 0
      },
      "significance": {
        "limit": 0,
        "value": 0
      },
      "sell_percentage": 0
    }
  ],
  "total": 0
}</t>
  </si>
  <si>
    <t>Lanciando la chiamata GET
/v1/riskaudit/{abi}/templates/templateB/waivers
con parametro di query non obbligatorio,
si ottiene 200 OK con response body un array di stringhe</t>
  </si>
  <si>
    <t>Lanciare la chiamata GET
/v1/riskaudit/{abi}/templates/templateB/waivers
con parametro di query non obbligatorio
{
"summaryid": str
}</t>
  </si>
  <si>
    <t>Lanciando la chiamata PUT
/v1/riskaudit/summaries/{summaryId}/answers
con query parameters non obbligatorio, header e request body SummaryUpdateDTO,
si ottiene 200 OK con response body SummaryUpdateDTO</t>
  </si>
  <si>
    <t>Lanciare la chiamata PUT
/v1/riskaudit/summaries/{summaryId}/answers
con query parameters non obbligatorio
{
"sectionId": int
}, 
header X-Client-Addr: str 
e request body SummaryUpdateDTO
{
  "answers": [
    {
      "answerId": 0,
      "questionId": 0,
      "modifiedTms": "2026-04-30T07:22:46.238Z",
      "modifiedBy": "string"
    }
  ]
}</t>
  </si>
  <si>
    <t>STATUS: 200 OK
RESPONSE BODY: SummaryUpdateDTO
{
  "answers": [
    {
      "answerId": 0,
      "questionId": 0,
      "modifiedTms": "2026-04-30T07:22:46.241Z",
      "modifiedBy": "string"
    }
  ]
}</t>
  </si>
  <si>
    <t>Lanciando la chiamata PUT
/v1/riskaudit/summaries/{subSectionId}/questions
con request body SubSectionQuestionsUpdateDTO,
si ottiene 200 OK con response body GenericResponse</t>
  </si>
  <si>
    <t>Lanciare la chiamata PUT
/v1/riskaudit/summaries/{subSectionId}/questions
con request body SubSectionQuestionsUpdateDTO
{
  "questions": [
    {
      "id": 0,
      "position": 0
    }
  ]
}</t>
  </si>
  <si>
    <t>Lanciando la chiamata PUT
/v1/riskaudit/summaries/{subSectionId}/answers/{questionId}
con request body SubSectionAnswerUpdateDTO,
si ottiene 200 OK con response body GenericResponse</t>
  </si>
  <si>
    <t>Lanciare la chiamata PUT
/v1/riskaudit/summaries/{subSectionId}/answers/{questionId}
con request body SubSectionAnswerUpdateDTO
{
  "answers": [
    {
      "id": 0,
      "position": 0,
      "regScore": 0,
      "virScore": 0
    }
  ]
}</t>
  </si>
  <si>
    <t>Lanciando la chiamata PUT
/v1/riskaudit/summaries/{id}/note
con parametro di query obbligatorio e request body NoteUpdateDTO,
si ottiene 200 OK con response body GenericResponse</t>
  </si>
  <si>
    <t>Lanciare la chiamata PUT
/v1/riskaudit/summaries/{id}/note
con parametro di query obbligatorio
{
"isCCB": bool
}
e request body NoteUpdateDTO
{
  "value": "string"
}</t>
  </si>
  <si>
    <t>Lanciando la chiamata PUT
/v1/riskaudit/summaries/state 
con query parameter non obbligatorio, header e request body StateUpdateDTO,
si ottiene 200 OK con response body GenericResponse</t>
  </si>
  <si>
    <t>Lanciare la chiamata PUT
/v1/riskaudit/summaries/state 
con query parameter non obbligatorio
{
"idSintesi": str
},
header X-Clinet-Addr: str 
e request body StateUpdateDTO
{
  "value": "string"
}</t>
  </si>
  <si>
    <t>Lanciando la chiamata POST
/v1/riskaudit/summaries
con header,
si ottiene 200 OK con response body SummariesCreateDTO</t>
  </si>
  <si>
    <t>Lanciare la chiamata POST
/v1/riskaudit/summaries
con header X-Client-Addr: str</t>
  </si>
  <si>
    <t>STATUS: 200 OK
RESPONSE BODY: SummariesCreateDTO
{
  "message": "string",
  "referenceDate": "string",
  "createdCount": 0,
  "createdIds": [
    "string"
  ]
}</t>
  </si>
  <si>
    <t>Lanciando la chiamata POST
/v1/riskaudit/summaries/search
con parametro di query obbligatorio e request body SearchParameters,
si ottiene 200 OK con response body ListResultSummariesSearchDTO</t>
  </si>
  <si>
    <t>Lanciare la chiamata POST
/v1/riskaudit/summaries/search
con parametro di query obbligatorio
{
"historical": bool
}
e request body SearchParameters
{
  "skip": 0,
  "sort": [
    {
      "field": "string",
      "dir": "asc",
      "ignoreCase": true
    }
  ],
  "take": 0,
  "filter": {
    "logic": "and",
    "filters": [
      {
        "field": "string",
        "ignoreCase": true,
        "operator": "eq",
        "value": {},
        "date": true,
        "boolean": true,
        "timestamp": true,
        "localDate": true,
        "isoDate": true
      }
    ]
  }
}</t>
  </si>
  <si>
    <t>STATUS: 200 OK
RESPONSE BODY: ListResultSummariesSearchDTO
{
  "data": [
    {
      "id": "string",
      "legalEntity": {
        "abi": "string",
        "name": "string"
      },
      "quarterDate": "2026-04-30T07:39:05.132Z",
      "result": "string",
      "state": "TO_FILL"
    }
  ],
  "total": 0
}</t>
  </si>
  <si>
    <t>Lanciando la chiamata POST
/v1/riskaudit/summaries/publish
si ottiene 200 OK</t>
  </si>
  <si>
    <t>Lanciare la chiamata POST
/v1/riskaudit/summaries/publish</t>
  </si>
  <si>
    <t>STATUS: 200 OK</t>
  </si>
  <si>
    <t>Lanciando la chiamata POST
/v1/riskaudit/summaries/export
con parametro di query obbligatorio e request body SearchParameters,
si ottiene 200 OK con response body un application/octet-stream</t>
  </si>
  <si>
    <t>Lanciare la chiamata POST
/v1/riskaudit/summaries/export
con parametro di query obbligatorio
{
"historical": bool
}
e request body SearchParameters 
{
  "skip": 0,
  "sort": [
    {
      "field": "string",
      "dir": "asc",
      "ignoreCase": true
    }
  ],
  "take": 0,
  "filter": {
    "logic": "and",
    "filters": [
      {
        "field": "string",
        "ignoreCase": true,
        "operator": "eq",
        "value": {},
        "date": true,
        "boolean": true,
        "timestamp": true,
        "localDate": true,
        "isoDate": true
      }
    ]
  }
}</t>
  </si>
  <si>
    <t>Lanciando la chiamata GET
/v1/riskaudit/summaries/{id}
si ottiene 200 OK con response body SummaryDTO</t>
  </si>
  <si>
    <t>Lanciare la chiamata GET
/v1/riskaudit/summaries/{id}</t>
  </si>
  <si>
    <t>STATUS: 200 OK
RESPONSE BODY: SummaryDTO
{
  "id": "string",
  "legalEntity": {
    "abi": "string",
    "name": "string"
  },
  "state": "TO_FILL",
  "result": "string",
  "modifiedBy": "string",
  "modifiedTms": "2026-04-30T08:01:32.873Z",
  "sections": [
    {
      "id": 0,
      "name": "string",
      "subsections": [
        {
          "id": 0,
          "name": "string",
          "questions": [
            {
              "id": 0,
              "name": "string",
              "answer": {
                "id": 0,
                "name": "string",
                "note": "string",
                "modifiedBy": "string",
                "modifiedTms": "2026-04-30T08:01:32.873Z"
              },
              "position": 0,
              "prefilled": true
            }
          ]
        }
      ]
    }
  ],
  "ccbNote": "string",
  "bankNote": "string",
  "quarterDate": "2026-04-30T08:01:32.873Z",
  "historical": true
}</t>
  </si>
  <si>
    <t>Lanciando la chiamata GET
/v1/riskaudit/summaries/{id}/print
si ottiene 200 OK con response body un pdf</t>
  </si>
  <si>
    <t>STATUS: 200 OK
RESPONSE BODY: un pdf</t>
  </si>
  <si>
    <t>Lanciando la chiamata GET
/v1/riskaudit/summaries/subsections
si ottiene 200 OK con response body SubsectionItemDTO</t>
  </si>
  <si>
    <t>Lanciare la chiamata GET
/v1/riskaudit/summaries/subsections</t>
  </si>
  <si>
    <t>Lanciare la chiamata GET
/v1/riskaudit/summaries/{id}/print</t>
  </si>
  <si>
    <t>STATUS: 200 OK
RESPONSE BODY: SubsectionItemDTO
[
  {
    "id": 0,
    "name": "string"
  }
]</t>
  </si>
  <si>
    <t>Lanciando la chiamata GET
/v1/riskaudit/summaries/stats
si ottiene 200 OK con reponse body StatsDTO</t>
  </si>
  <si>
    <t>Lanciare la chiamata GET
/v1/riskaudit/summaries/stats</t>
  </si>
  <si>
    <t>STATUS: 200 OK
RESPONSE BODY: StatsDTO
{
  "toCompileNumber": 0,
  "compiledNumber": 0,
  "closedNumber": 0,
  "quarterDate": "2026-04-30T08:06:11.067Z",
  "publishDate": "2026-04-30T08:06:11.067Z"
}</t>
  </si>
  <si>
    <t>Lanciando la chiamata GET
/v1/riskaudit/summaries/stats/{date}
si ottiene 200 OK con response body StatsDTO</t>
  </si>
  <si>
    <t>Lanciare la chiamata GET
/v1/riskaudit/summaries/stats/{date}</t>
  </si>
  <si>
    <t>Lanciando la chiamata GET
/v1/riskaudit/summaries/logs
si ottiene 200 OK con response body LogDTO</t>
  </si>
  <si>
    <t>Lanciare la chiamata GET
/v1/riskaudit/summaries/logs</t>
  </si>
  <si>
    <t>STATUS: 200 OK
RESPONSE BODY: LogDTO
{
  "receivingDate": "2026-04-30T08:12:19.032Z",
  "uploadingDate": "2026-04-30T08:12:19.032Z",
  "creationDate": "2026-04-30T08:12:19.032Z"
}</t>
  </si>
  <si>
    <t>Lanciando la chiamata GET
/v1/riskaudit/summaries/answers/{subsectionId}
con parametro di query non obbligatorio,
si ottiene 200 OK con response body QuestionWithAnswerDTO</t>
  </si>
  <si>
    <t>Lanciare la chiamata GET
/v1/riskaudit/summaries/answers/{subsectionId}
con parametro di query non obbligatorio
{
"questionId": int
}</t>
  </si>
  <si>
    <t>STATUS: 200 OK
RESPONSE BODY: QuestionWithAnswerDTO
[
  {
    "id": 0,
    "name": "string",
    "position": 0,
    "answers": [
      {
        "id": 0,
        "name": "string",
        "position": 0,
        "regScore": 0,
        "virScore": 0
      }
    ]
  }
]</t>
  </si>
  <si>
    <t>TC0001</t>
  </si>
  <si>
    <t>TC0002</t>
  </si>
  <si>
    <t>TC0004</t>
  </si>
  <si>
    <t>TC0005</t>
  </si>
  <si>
    <t>TC0006</t>
  </si>
  <si>
    <t>TC0007</t>
  </si>
  <si>
    <t>TC0008</t>
  </si>
  <si>
    <t>TC0009</t>
  </si>
  <si>
    <t>TC0010</t>
  </si>
  <si>
    <t>TC0011</t>
  </si>
  <si>
    <t>TC0012</t>
  </si>
  <si>
    <t>TC0013</t>
  </si>
  <si>
    <t>TC0014</t>
  </si>
  <si>
    <t>TC0015</t>
  </si>
  <si>
    <t>TC0016</t>
  </si>
  <si>
    <t>TC0017</t>
  </si>
  <si>
    <t>TC0018</t>
  </si>
  <si>
    <t>TC0019</t>
  </si>
  <si>
    <t>TC0020</t>
  </si>
  <si>
    <t>TC0021</t>
  </si>
  <si>
    <t>TC0022</t>
  </si>
  <si>
    <t>TC0023</t>
  </si>
  <si>
    <t>TC0024</t>
  </si>
  <si>
    <t>TC0025</t>
  </si>
  <si>
    <t>TC0026</t>
  </si>
  <si>
    <t>TC0027</t>
  </si>
  <si>
    <t>TC0028</t>
  </si>
  <si>
    <t>TC0029</t>
  </si>
  <si>
    <t>TC0030</t>
  </si>
  <si>
    <t>TC0031</t>
  </si>
  <si>
    <t>TC0032</t>
  </si>
  <si>
    <t>TC0003</t>
  </si>
  <si>
    <t>F2 | CCB –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</si>
</sst>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\C\_0000"/>
  </numFmts>
  <fonts count="12" x14ac:knownFonts="1">
    <font>
      <sz val="11"/>
      <color indexed="8"/>
      <name val="Calibri"/>
      <family val="2"/>
      <scheme val="minor"/>
    </font>
    <font>
      <b/>
      <sz val="12"/>
      <color indexed="8"/>
      <name val="Arial"/>
      <family val="2"/>
    </font>
    <font>
      <sz val="8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7"/>
      <name val="Courier New"/>
      <family val="3"/>
    </font>
  </fonts>
  <fills count="9">
    <fill>
      <patternFill patternType="none"/>
    </fill>
    <fill>
      <patternFill patternType="gray125"/>
    </fill>
    <fill>
      <patternFill patternType="solid">
        <fgColor rgb="FF006666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/>
    <xf numFmtId="164" fontId="5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 indent="1"/>
    </xf>
    <xf numFmtId="0" fontId="6" fillId="0" borderId="3" xfId="0" applyFont="1" applyBorder="1" applyAlignment="1">
      <alignment horizontal="left" vertical="center" wrapText="1" indent="1"/>
    </xf>
    <xf numFmtId="0" fontId="6" fillId="0" borderId="3" xfId="0" applyFont="1" applyBorder="1" applyAlignment="1">
      <alignment horizontal="center" vertical="center" wrapText="1"/>
    </xf>
    <xf numFmtId="14" fontId="6" fillId="0" borderId="0" xfId="0" applyNumberFormat="1" applyFont="1" applyAlignment="1">
      <alignment horizontal="left" vertical="center" wrapText="1" indent="1"/>
    </xf>
    <xf numFmtId="0" fontId="6" fillId="0" borderId="0" xfId="0" applyFont="1"/>
    <xf numFmtId="14" fontId="6" fillId="0" borderId="0" xfId="0" applyNumberFormat="1" applyFont="1"/>
    <xf numFmtId="0" fontId="0" fillId="0" borderId="0" xfId="0" applyProtection="1"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4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vertical="center" wrapText="1"/>
      <protection hidden="1"/>
    </xf>
    <xf numFmtId="0" fontId="6" fillId="0" borderId="0" xfId="0" applyFont="1" applyAlignment="1" applyProtection="1">
      <alignment horizontal="left" vertical="center" indent="1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/>
      <protection hidden="1"/>
    </xf>
    <xf numFmtId="0" fontId="6" fillId="0" borderId="0" xfId="0" applyFont="1" applyProtection="1">
      <protection hidden="1"/>
    </xf>
    <xf numFmtId="0" fontId="6" fillId="0" borderId="0" xfId="0" applyFont="1" applyAlignment="1" applyProtection="1">
      <alignment horizontal="left" vertical="center" wrapText="1" indent="1"/>
      <protection hidden="1"/>
    </xf>
    <xf numFmtId="0" fontId="7" fillId="4" borderId="5" xfId="0" applyFont="1" applyFill="1" applyBorder="1" applyAlignment="1" applyProtection="1">
      <alignment horizontal="center" vertical="center"/>
      <protection hidden="1"/>
    </xf>
    <xf numFmtId="0" fontId="8" fillId="5" borderId="6" xfId="0" applyFont="1" applyFill="1" applyBorder="1" applyAlignment="1" applyProtection="1">
      <alignment horizontal="center" vertical="center"/>
      <protection hidden="1"/>
    </xf>
    <xf numFmtId="0" fontId="7" fillId="6" borderId="7" xfId="0" applyFont="1" applyFill="1" applyBorder="1" applyAlignment="1" applyProtection="1">
      <alignment horizontal="center" vertical="center"/>
      <protection hidden="1"/>
    </xf>
    <xf numFmtId="0" fontId="7" fillId="7" borderId="7" xfId="0" applyFont="1" applyFill="1" applyBorder="1" applyAlignment="1" applyProtection="1">
      <alignment horizontal="center" vertical="center"/>
      <protection hidden="1"/>
    </xf>
    <xf numFmtId="0" fontId="0" fillId="0" borderId="1" xfId="0" applyBorder="1" applyProtection="1">
      <protection hidden="1"/>
    </xf>
    <xf numFmtId="0" fontId="0" fillId="0" borderId="2" xfId="0" applyBorder="1" applyAlignment="1" applyProtection="1">
      <alignment horizontal="right" vertical="center"/>
      <protection hidden="1"/>
    </xf>
    <xf numFmtId="0" fontId="0" fillId="0" borderId="8" xfId="0" applyBorder="1" applyAlignment="1" applyProtection="1">
      <alignment horizontal="right" vertical="center"/>
      <protection hidden="1"/>
    </xf>
    <xf numFmtId="0" fontId="0" fillId="0" borderId="9" xfId="0" applyBorder="1" applyAlignment="1" applyProtection="1">
      <alignment horizontal="right" vertical="center"/>
      <protection hidden="1"/>
    </xf>
    <xf numFmtId="0" fontId="9" fillId="8" borderId="5" xfId="0" applyFont="1" applyFill="1" applyBorder="1" applyAlignment="1" applyProtection="1">
      <alignment horizontal="center" vertical="center"/>
      <protection hidden="1"/>
    </xf>
    <xf numFmtId="0" fontId="10" fillId="0" borderId="6" xfId="0" applyFont="1" applyBorder="1" applyProtection="1">
      <protection hidden="1"/>
    </xf>
    <xf numFmtId="0" fontId="6" fillId="0" borderId="0" xfId="0" quotePrefix="1" applyFont="1" applyProtection="1">
      <protection hidden="1"/>
    </xf>
    <xf numFmtId="164" fontId="6" fillId="0" borderId="0" xfId="0" applyNumberFormat="1" applyFont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11" fillId="0" borderId="0" xfId="0" applyFont="1"/>
  </cellXfs>
  <cellStyles count="1">
    <cellStyle name="Normale" xfId="0" builtinId="0"/>
  </cellStyles>
  <dxfs count="63">
    <dxf>
      <font>
        <b/>
        <i val="0"/>
        <color rgb="FFFF6600"/>
      </font>
    </dxf>
    <dxf>
      <font>
        <b/>
        <i val="0"/>
        <color rgb="FF00B05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/>
        <right/>
        <top/>
        <bottom/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6600"/>
      </font>
    </dxf>
    <dxf>
      <font>
        <b/>
        <i val="0"/>
        <color rgb="FF008000"/>
      </font>
    </dxf>
    <dxf>
      <border>
        <left/>
        <right/>
        <top/>
        <bottom/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/>
        <right/>
        <top/>
        <bottom/>
        <vertical/>
        <horizontal/>
      </border>
    </dxf>
    <dxf>
      <fill>
        <patternFill>
          <bgColor theme="8" tint="0.7999816888943144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/>
        <right/>
        <top/>
        <bottom/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/>
        <right/>
        <top/>
        <bottom/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/>
        <right/>
        <top/>
        <bottom/>
        <vertical/>
        <horizontal/>
      </border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/>
        <right/>
        <top/>
        <bottom/>
        <vertical/>
        <horizontal/>
      </border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border>
        <left/>
        <right/>
        <top/>
        <bottom/>
        <vertical/>
        <horizontal/>
      </border>
    </dxf>
    <dxf>
      <fill>
        <patternFill>
          <bgColor rgb="FF00B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/>
        <right/>
        <top/>
        <bottom/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protection locked="1" hidden="1"/>
    </dxf>
    <dxf>
      <border outline="0">
        <top style="thin">
          <color indexed="64"/>
        </top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06666"/>
        </patternFill>
      </fill>
      <alignment horizontal="center" vertical="center" textRotation="0" wrapText="1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protection locked="1" hidden="1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06666"/>
        </patternFill>
      </fill>
      <alignment horizontal="center" vertical="center" textRotation="0" wrapText="1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protection locked="1" hidden="1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06666"/>
        </patternFill>
      </fill>
      <alignment horizontal="center" vertical="center" textRotation="0" wrapText="1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protection locked="1" hidden="1"/>
    </dxf>
    <dxf>
      <border outline="0">
        <top style="thin">
          <color indexed="64"/>
        </top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06666"/>
        </patternFill>
      </fill>
      <alignment horizontal="center" vertical="center" textRotation="0" wrapText="1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1" justifyLastLine="0" shrinkToFit="0" readingOrder="0"/>
      <protection locked="1" hidden="1"/>
    </dxf>
    <dxf>
      <border outline="0">
        <top style="thin">
          <color indexed="64"/>
        </top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1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06666"/>
        </patternFill>
      </fill>
      <alignment horizontal="center" vertical="center" textRotation="0" wrapText="1" indent="0" justifyLastLine="0" shrinkToFit="0" readingOrder="0"/>
      <protection locked="1" hidden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CF7C56-0B45-4E00-8D99-70ADF04FFE51}" name="ISA" displayName="ISA" ref="A1:A15" totalsRowShown="0" headerRowDxfId="62" dataDxfId="60" headerRowBorderDxfId="61" tableBorderDxfId="59" totalsRowBorderDxfId="58">
  <autoFilter ref="A1:A15" xr:uid="{F8CF7C56-0B45-4E00-8D99-70ADF04FFE51}"/>
  <tableColumns count="1">
    <tableColumn id="1" xr3:uid="{46C77361-ECD9-4267-B7F7-EE554FBAF8F3}" name="Istanza Servizio Applicativo" dataDxfId="5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00B551-EEAD-4986-9983-40E00C0B9C75}" name="PosNeg" displayName="PosNeg" ref="B1:B3" totalsRowShown="0" headerRowDxfId="56" dataDxfId="54" headerRowBorderDxfId="55" tableBorderDxfId="53" totalsRowBorderDxfId="52">
  <autoFilter ref="B1:B3" xr:uid="{9200B551-EEAD-4986-9983-40E00C0B9C75}"/>
  <tableColumns count="1">
    <tableColumn id="1" xr3:uid="{E5FD769B-836A-48C8-B491-3BDF38EDD133}" name="Positivo/Negativo" dataDxfId="51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AF1898-DF42-4FEE-ADAD-1CA7CD87B449}" name="Priority" displayName="Priority" ref="C1:C5" totalsRowShown="0" headerRowDxfId="50" dataDxfId="48" headerRowBorderDxfId="49" tableBorderDxfId="47" totalsRowBorderDxfId="46">
  <autoFilter ref="C1:C5" xr:uid="{93AF1898-DF42-4FEE-ADAD-1CA7CD87B449}"/>
  <tableColumns count="1">
    <tableColumn id="1" xr3:uid="{B1FA47A3-89D2-4622-B665-06792B661B35}" name="Priorità" dataDxfId="45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E8C4A43-1616-4B65-8D72-710ECEA6E31C}" name="DesignStatus" displayName="DesignStatus" ref="D1:D3" totalsRowShown="0" headerRowDxfId="44" dataDxfId="42" headerRowBorderDxfId="43" tableBorderDxfId="41" totalsRowBorderDxfId="40">
  <autoFilter ref="D1:D3" xr:uid="{AE8C4A43-1616-4B65-8D72-710ECEA6E31C}"/>
  <tableColumns count="1">
    <tableColumn id="1" xr3:uid="{20423FD1-3DC6-44B2-8107-B233489F3676}" name="Stato progettazione" dataDxfId="39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7496F10-02F9-4E80-A846-05962C496AE6}" name="Author" displayName="Author" ref="E1:E5" totalsRowShown="0" headerRowDxfId="38" dataDxfId="36" headerRowBorderDxfId="37" tableBorderDxfId="35" totalsRowBorderDxfId="34">
  <autoFilter ref="E1:E5" xr:uid="{C7496F10-02F9-4E80-A846-05962C496AE6}"/>
  <tableColumns count="1">
    <tableColumn id="1" xr3:uid="{035A56D4-0025-44A6-B0F0-618D63D8F9EA}" name="Autore" dataDxfId="3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56141-C613-4CF4-8403-3ED894247F86}">
  <dimension ref="A1"/>
  <sheetViews>
    <sheetView workbookViewId="0"/>
  </sheetViews>
  <sheetFormatPr defaultRowHeight="15" x14ac:dyDescent="0.25"/>
  <sheetData/>
  <pageMargins left="0.7" right="0.7" top="0.75" bottom="0.75" header="0.3" footer="0.3"/>
  <headerFooter>
    <oddFooter>&amp;L_x000D_&amp;1#&amp;"Aptos"&amp;10&amp;K000000 Sensitivity: C1-Internal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C0D05-72ED-47C1-8EA8-E499AF759AF7}">
  <dimension ref="A1"/>
  <sheetViews>
    <sheetView workbookViewId="0"/>
  </sheetViews>
  <sheetFormatPr defaultRowHeight="15" x14ac:dyDescent="0.25"/>
  <sheetData/>
  <pageMargins left="0.7" right="0.7" top="0.75" bottom="0.75" header="0.3" footer="0.3"/>
  <headerFooter>
    <oddFooter>&amp;L_x000D_&amp;1#&amp;"Aptos"&amp;10&amp;K000000 Sensitivity: C1-Internal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X36"/>
  <sheetViews>
    <sheetView tabSelected="1" zoomScale="145" zoomScaleNormal="145" workbookViewId="0">
      <pane ySplit="1" topLeftCell="A2" activePane="bottomLeft" state="frozen"/>
      <selection pane="bottomLeft" activeCell="C37" sqref="C37"/>
    </sheetView>
  </sheetViews>
  <sheetFormatPr defaultColWidth="9.140625" defaultRowHeight="12.75" outlineLevelCol="1" x14ac:dyDescent="0.2"/>
  <cols>
    <col min="1" max="1" width="16.5703125" style="33" customWidth="1" outlineLevel="1"/>
    <col min="2" max="2" width="19.42578125" style="34" bestFit="1" customWidth="1"/>
    <col min="3" max="3" width="61" style="35" customWidth="1"/>
    <col min="4" max="4" width="47.140625" style="7" customWidth="1"/>
    <col min="5" max="5" width="19" style="35" customWidth="1" outlineLevel="1"/>
    <col min="6" max="6" width="20.140625" style="35" customWidth="1" outlineLevel="1"/>
    <col min="7" max="8" width="30.28515625" style="35" customWidth="1" outlineLevel="1"/>
    <col min="9" max="9" width="12.7109375" style="35" customWidth="1" outlineLevel="1"/>
    <col min="10" max="10" width="16.85546875" style="35" customWidth="1" outlineLevel="1"/>
    <col min="11" max="11" width="21.85546875" style="35" customWidth="1"/>
    <col min="12" max="12" width="51.7109375" style="7" customWidth="1"/>
    <col min="13" max="13" width="10" style="6" customWidth="1"/>
    <col min="14" max="14" width="80" style="7" customWidth="1"/>
    <col min="15" max="15" width="104.7109375" style="7" customWidth="1"/>
    <col min="16" max="16" width="44" style="7" customWidth="1"/>
    <col min="17" max="17" width="10.5703125" style="36" customWidth="1"/>
    <col min="18" max="18" width="25.42578125" style="36" customWidth="1"/>
    <col min="19" max="19" width="25.42578125" style="37" customWidth="1"/>
    <col min="20" max="20" width="20.28515625" style="11" customWidth="1"/>
    <col min="21" max="21" width="24.5703125" style="11" hidden="1" customWidth="1" outlineLevel="1"/>
    <col min="22" max="22" width="30" style="11" hidden="1" customWidth="1" outlineLevel="1"/>
    <col min="23" max="23" width="34.85546875" style="11" hidden="1" customWidth="1" outlineLevel="1"/>
    <col min="24" max="24" width="9.140625" style="11" collapsed="1"/>
    <col min="25" max="16384" width="9.140625" style="11"/>
  </cols>
  <sheetData>
    <row r="1" spans="1:23" s="4" customFormat="1" ht="18.7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3" t="s">
        <v>21</v>
      </c>
      <c r="W1" s="3" t="s">
        <v>22</v>
      </c>
    </row>
    <row r="2" spans="1:23" ht="89.25" x14ac:dyDescent="0.2">
      <c r="A2" s="5" t="s">
        <v>47</v>
      </c>
      <c r="B2" s="6" t="s">
        <v>174</v>
      </c>
      <c r="C2" s="7" t="s">
        <v>53</v>
      </c>
      <c r="D2" s="8" t="s">
        <v>111</v>
      </c>
      <c r="E2" s="7" t="s">
        <v>84</v>
      </c>
      <c r="F2" s="8" t="s">
        <v>85</v>
      </c>
      <c r="G2" s="8"/>
      <c r="H2" s="8" t="s">
        <v>206</v>
      </c>
      <c r="I2" s="8"/>
      <c r="J2" s="8"/>
      <c r="K2" s="9" t="s">
        <v>36</v>
      </c>
      <c r="M2" s="9" cm="1">
        <f t="array" aca="1" ref="M2" ca="1">_xlfn.LET(
_xlpm.CurrentStep_Title, INDIRECT("C"&amp;(ROW())),
_xlpm.PrecStep_Title, INDIRECT("C"&amp;(ROW()-1)),
_xlpm.PrecStep_Value, INDIRECT("M"&amp;(ROW()-1)),
IF(_xlpm.CurrentStep_Title &lt;&gt; _xlpm.PrecStep_Title, 1, _xlpm.PrecStep_Value+1)
)</f>
        <v>1</v>
      </c>
      <c r="N2" s="7" t="s">
        <v>112</v>
      </c>
      <c r="O2" s="8" t="s">
        <v>113</v>
      </c>
      <c r="P2" s="8"/>
      <c r="Q2" s="8"/>
      <c r="R2" s="8"/>
      <c r="S2" s="10">
        <v>46141</v>
      </c>
      <c r="T2" s="8" t="s">
        <v>88</v>
      </c>
      <c r="V2" s="12"/>
    </row>
    <row r="3" spans="1:23" ht="76.5" x14ac:dyDescent="0.2">
      <c r="A3" s="5" t="s">
        <v>47</v>
      </c>
      <c r="B3" s="6" t="s">
        <v>175</v>
      </c>
      <c r="C3" s="7" t="s">
        <v>54</v>
      </c>
      <c r="D3" s="8" t="s">
        <v>114</v>
      </c>
      <c r="E3" s="7" t="s">
        <v>84</v>
      </c>
      <c r="F3" s="8" t="s">
        <v>85</v>
      </c>
      <c r="G3" s="8"/>
      <c r="H3" s="8" t="s">
        <v>206</v>
      </c>
      <c r="I3" s="8"/>
      <c r="J3" s="8"/>
      <c r="K3" s="9" t="s">
        <v>36</v>
      </c>
      <c r="M3" s="9">
        <v>1</v>
      </c>
      <c r="N3" s="7" t="s">
        <v>115</v>
      </c>
      <c r="O3" s="8" t="s">
        <v>91</v>
      </c>
      <c r="P3" s="8"/>
      <c r="Q3" s="8"/>
      <c r="R3" s="8"/>
      <c r="S3" s="10">
        <v>46141</v>
      </c>
      <c r="T3" s="8" t="s">
        <v>88</v>
      </c>
      <c r="V3" s="12"/>
    </row>
    <row r="4" spans="1:23" ht="382.5" x14ac:dyDescent="0.2">
      <c r="A4" s="5" t="s">
        <v>47</v>
      </c>
      <c r="B4" s="6" t="s">
        <v>205</v>
      </c>
      <c r="C4" s="7" t="s">
        <v>52</v>
      </c>
      <c r="D4" s="8" t="s">
        <v>116</v>
      </c>
      <c r="E4" s="7" t="s">
        <v>84</v>
      </c>
      <c r="F4" s="8" t="s">
        <v>85</v>
      </c>
      <c r="G4" s="8"/>
      <c r="H4" s="8" t="s">
        <v>206</v>
      </c>
      <c r="I4" s="8"/>
      <c r="J4" s="8"/>
      <c r="K4" s="9" t="s">
        <v>36</v>
      </c>
      <c r="M4" s="9">
        <v>1</v>
      </c>
      <c r="N4" s="7" t="s">
        <v>117</v>
      </c>
      <c r="O4" s="8" t="s">
        <v>118</v>
      </c>
      <c r="P4" s="8"/>
      <c r="Q4" s="8"/>
      <c r="R4" s="8"/>
      <c r="S4" s="10">
        <v>46141</v>
      </c>
      <c r="T4" s="8" t="s">
        <v>88</v>
      </c>
      <c r="V4" s="12"/>
    </row>
    <row r="5" spans="1:23" ht="409.5" x14ac:dyDescent="0.2">
      <c r="A5" s="5" t="s">
        <v>47</v>
      </c>
      <c r="B5" s="6" t="s">
        <v>176</v>
      </c>
      <c r="C5" s="7" t="s">
        <v>55</v>
      </c>
      <c r="D5" s="8" t="s">
        <v>119</v>
      </c>
      <c r="E5" s="7" t="s">
        <v>84</v>
      </c>
      <c r="F5" s="8" t="s">
        <v>85</v>
      </c>
      <c r="G5" s="8"/>
      <c r="H5" s="8" t="s">
        <v>206</v>
      </c>
      <c r="I5" s="8"/>
      <c r="J5" s="8"/>
      <c r="K5" s="9" t="s">
        <v>36</v>
      </c>
      <c r="M5" s="9">
        <v>1</v>
      </c>
      <c r="N5" s="7" t="s">
        <v>123</v>
      </c>
      <c r="O5" s="8" t="s">
        <v>120</v>
      </c>
      <c r="P5" s="8"/>
      <c r="Q5" s="8"/>
      <c r="R5" s="8"/>
      <c r="S5" s="10">
        <v>46141</v>
      </c>
      <c r="T5" s="8" t="s">
        <v>88</v>
      </c>
      <c r="V5" s="12"/>
    </row>
    <row r="6" spans="1:23" ht="140.25" customHeight="1" x14ac:dyDescent="0.2">
      <c r="A6" s="5" t="s">
        <v>47</v>
      </c>
      <c r="B6" s="6" t="s">
        <v>177</v>
      </c>
      <c r="C6" s="7" t="s">
        <v>56</v>
      </c>
      <c r="D6" s="8" t="s">
        <v>121</v>
      </c>
      <c r="E6" s="7" t="s">
        <v>84</v>
      </c>
      <c r="F6" s="8" t="s">
        <v>85</v>
      </c>
      <c r="G6" s="8"/>
      <c r="H6" s="8" t="s">
        <v>206</v>
      </c>
      <c r="I6" s="8"/>
      <c r="J6" s="8"/>
      <c r="K6" s="9" t="s">
        <v>36</v>
      </c>
      <c r="M6" s="9">
        <v>1</v>
      </c>
      <c r="N6" s="7" t="s">
        <v>122</v>
      </c>
      <c r="O6" s="8" t="s">
        <v>124</v>
      </c>
      <c r="P6" s="8"/>
      <c r="Q6" s="8"/>
      <c r="R6" s="8"/>
      <c r="S6" s="10">
        <v>46141</v>
      </c>
      <c r="T6" s="8" t="s">
        <v>88</v>
      </c>
      <c r="V6" s="12"/>
    </row>
    <row r="7" spans="1:23" ht="291.75" customHeight="1" x14ac:dyDescent="0.2">
      <c r="A7" s="5" t="s">
        <v>47</v>
      </c>
      <c r="B7" s="6" t="s">
        <v>178</v>
      </c>
      <c r="C7" s="7" t="s">
        <v>58</v>
      </c>
      <c r="D7" s="8" t="s">
        <v>125</v>
      </c>
      <c r="E7" s="7" t="s">
        <v>84</v>
      </c>
      <c r="F7" s="8" t="s">
        <v>85</v>
      </c>
      <c r="G7" s="8"/>
      <c r="H7" s="8" t="s">
        <v>206</v>
      </c>
      <c r="I7" s="8"/>
      <c r="J7" s="8"/>
      <c r="K7" s="9" t="s">
        <v>36</v>
      </c>
      <c r="M7" s="9">
        <v>1</v>
      </c>
      <c r="N7" s="7" t="s">
        <v>126</v>
      </c>
      <c r="O7" s="8"/>
      <c r="P7" s="8"/>
      <c r="Q7" s="8"/>
      <c r="R7" s="8"/>
      <c r="S7" s="10">
        <v>46141</v>
      </c>
      <c r="T7" s="8" t="s">
        <v>88</v>
      </c>
      <c r="V7" s="12"/>
    </row>
    <row r="8" spans="1:23" ht="409.5" x14ac:dyDescent="0.2">
      <c r="A8" s="5" t="s">
        <v>47</v>
      </c>
      <c r="B8" s="6" t="s">
        <v>179</v>
      </c>
      <c r="C8" s="7" t="s">
        <v>57</v>
      </c>
      <c r="D8" s="8" t="s">
        <v>127</v>
      </c>
      <c r="E8" s="7" t="s">
        <v>84</v>
      </c>
      <c r="F8" s="8" t="s">
        <v>85</v>
      </c>
      <c r="G8" s="8"/>
      <c r="H8" s="8" t="s">
        <v>206</v>
      </c>
      <c r="I8" s="8"/>
      <c r="J8" s="8"/>
      <c r="K8" s="9" t="s">
        <v>36</v>
      </c>
      <c r="M8" s="9">
        <v>1</v>
      </c>
      <c r="N8" s="7" t="s">
        <v>128</v>
      </c>
      <c r="O8" s="8" t="s">
        <v>129</v>
      </c>
      <c r="P8" s="8"/>
      <c r="Q8" s="8"/>
      <c r="R8" s="8"/>
      <c r="S8" s="10">
        <v>46142</v>
      </c>
      <c r="T8" s="8" t="s">
        <v>88</v>
      </c>
      <c r="V8" s="12"/>
    </row>
    <row r="9" spans="1:23" ht="76.5" x14ac:dyDescent="0.2">
      <c r="A9" s="5" t="s">
        <v>47</v>
      </c>
      <c r="B9" s="6" t="s">
        <v>180</v>
      </c>
      <c r="C9" s="7" t="s">
        <v>59</v>
      </c>
      <c r="D9" s="8" t="s">
        <v>130</v>
      </c>
      <c r="E9" s="7" t="s">
        <v>84</v>
      </c>
      <c r="F9" s="8" t="s">
        <v>85</v>
      </c>
      <c r="G9" s="8"/>
      <c r="H9" s="8" t="s">
        <v>206</v>
      </c>
      <c r="I9" s="8"/>
      <c r="J9" s="8"/>
      <c r="K9" s="9" t="s">
        <v>36</v>
      </c>
      <c r="M9" s="9">
        <v>1</v>
      </c>
      <c r="N9" s="7" t="s">
        <v>131</v>
      </c>
      <c r="O9" s="8" t="s">
        <v>106</v>
      </c>
      <c r="P9" s="8"/>
      <c r="Q9" s="8"/>
      <c r="R9" s="8"/>
      <c r="S9" s="10">
        <v>46142</v>
      </c>
      <c r="T9" s="8" t="s">
        <v>88</v>
      </c>
      <c r="V9" s="12"/>
    </row>
    <row r="10" spans="1:23" ht="229.5" x14ac:dyDescent="0.2">
      <c r="A10" s="5" t="s">
        <v>48</v>
      </c>
      <c r="B10" s="6" t="s">
        <v>181</v>
      </c>
      <c r="C10" s="7" t="s">
        <v>60</v>
      </c>
      <c r="D10" s="8" t="s">
        <v>132</v>
      </c>
      <c r="E10" s="7" t="s">
        <v>84</v>
      </c>
      <c r="F10" s="8" t="s">
        <v>85</v>
      </c>
      <c r="G10" s="8"/>
      <c r="H10" s="8" t="s">
        <v>206</v>
      </c>
      <c r="I10" s="8"/>
      <c r="J10" s="8"/>
      <c r="K10" s="9" t="s">
        <v>36</v>
      </c>
      <c r="M10" s="9">
        <v>1</v>
      </c>
      <c r="N10" s="7" t="s">
        <v>133</v>
      </c>
      <c r="O10" s="8" t="s">
        <v>134</v>
      </c>
      <c r="P10" s="8"/>
      <c r="Q10" s="8"/>
      <c r="R10" s="8"/>
      <c r="S10" s="10">
        <v>46142</v>
      </c>
      <c r="T10" s="8" t="s">
        <v>88</v>
      </c>
      <c r="V10" s="12"/>
    </row>
    <row r="11" spans="1:23" ht="140.25" x14ac:dyDescent="0.2">
      <c r="A11" s="5" t="s">
        <v>48</v>
      </c>
      <c r="B11" s="6" t="s">
        <v>182</v>
      </c>
      <c r="C11" s="7" t="s">
        <v>61</v>
      </c>
      <c r="D11" s="8" t="s">
        <v>135</v>
      </c>
      <c r="E11" s="7" t="s">
        <v>84</v>
      </c>
      <c r="F11" s="8" t="s">
        <v>85</v>
      </c>
      <c r="G11" s="8"/>
      <c r="H11" s="8" t="s">
        <v>206</v>
      </c>
      <c r="I11" s="8"/>
      <c r="J11" s="8"/>
      <c r="K11" s="9" t="s">
        <v>36</v>
      </c>
      <c r="M11" s="9">
        <v>1</v>
      </c>
      <c r="N11" s="7" t="s">
        <v>136</v>
      </c>
      <c r="O11" s="8" t="s">
        <v>91</v>
      </c>
      <c r="P11" s="8"/>
      <c r="Q11" s="8"/>
      <c r="R11" s="8"/>
      <c r="S11" s="10">
        <v>46142</v>
      </c>
      <c r="T11" s="8" t="s">
        <v>88</v>
      </c>
      <c r="V11" s="12"/>
    </row>
    <row r="12" spans="1:23" ht="165.75" x14ac:dyDescent="0.2">
      <c r="A12" s="5" t="s">
        <v>48</v>
      </c>
      <c r="B12" s="6" t="s">
        <v>183</v>
      </c>
      <c r="C12" s="7" t="s">
        <v>62</v>
      </c>
      <c r="D12" s="8" t="s">
        <v>137</v>
      </c>
      <c r="E12" s="7" t="s">
        <v>84</v>
      </c>
      <c r="F12" s="8" t="s">
        <v>85</v>
      </c>
      <c r="G12" s="8"/>
      <c r="H12" s="8" t="s">
        <v>206</v>
      </c>
      <c r="I12" s="8"/>
      <c r="J12" s="8"/>
      <c r="K12" s="9" t="s">
        <v>36</v>
      </c>
      <c r="M12" s="9">
        <v>1</v>
      </c>
      <c r="N12" s="7" t="s">
        <v>138</v>
      </c>
      <c r="O12" s="8" t="s">
        <v>91</v>
      </c>
      <c r="P12" s="8"/>
      <c r="Q12" s="8"/>
      <c r="R12" s="8"/>
      <c r="S12" s="10">
        <v>46142</v>
      </c>
      <c r="T12" s="8" t="s">
        <v>88</v>
      </c>
      <c r="V12" s="12"/>
    </row>
    <row r="13" spans="1:23" ht="127.5" x14ac:dyDescent="0.2">
      <c r="A13" s="5" t="s">
        <v>48</v>
      </c>
      <c r="B13" s="6" t="s">
        <v>184</v>
      </c>
      <c r="C13" s="7" t="s">
        <v>64</v>
      </c>
      <c r="D13" s="8" t="s">
        <v>139</v>
      </c>
      <c r="E13" s="7" t="s">
        <v>84</v>
      </c>
      <c r="F13" s="8" t="s">
        <v>85</v>
      </c>
      <c r="G13" s="8"/>
      <c r="H13" s="8" t="s">
        <v>206</v>
      </c>
      <c r="I13" s="8"/>
      <c r="J13" s="8"/>
      <c r="K13" s="9" t="s">
        <v>36</v>
      </c>
      <c r="M13" s="9">
        <v>1</v>
      </c>
      <c r="N13" s="7" t="s">
        <v>140</v>
      </c>
      <c r="O13" s="8" t="s">
        <v>91</v>
      </c>
      <c r="P13" s="8"/>
      <c r="Q13" s="8"/>
      <c r="R13" s="8"/>
      <c r="S13" s="10">
        <v>46142</v>
      </c>
      <c r="T13" s="8" t="s">
        <v>88</v>
      </c>
      <c r="V13" s="12"/>
    </row>
    <row r="14" spans="1:23" ht="140.25" x14ac:dyDescent="0.2">
      <c r="A14" s="5" t="s">
        <v>48</v>
      </c>
      <c r="B14" s="6" t="s">
        <v>185</v>
      </c>
      <c r="C14" s="7" t="s">
        <v>74</v>
      </c>
      <c r="D14" s="8" t="s">
        <v>141</v>
      </c>
      <c r="E14" s="7" t="s">
        <v>84</v>
      </c>
      <c r="F14" s="8" t="s">
        <v>85</v>
      </c>
      <c r="G14" s="8"/>
      <c r="H14" s="8" t="s">
        <v>206</v>
      </c>
      <c r="I14" s="8"/>
      <c r="J14" s="8"/>
      <c r="K14" s="9" t="s">
        <v>36</v>
      </c>
      <c r="M14" s="9">
        <v>1</v>
      </c>
      <c r="N14" s="7" t="s">
        <v>142</v>
      </c>
      <c r="O14" s="8" t="s">
        <v>91</v>
      </c>
      <c r="P14" s="8"/>
      <c r="Q14" s="8"/>
      <c r="R14" s="8"/>
      <c r="S14" s="10">
        <v>46142</v>
      </c>
      <c r="T14" s="8" t="s">
        <v>88</v>
      </c>
      <c r="V14" s="12"/>
    </row>
    <row r="15" spans="1:23" ht="140.25" x14ac:dyDescent="0.2">
      <c r="A15" s="5" t="s">
        <v>48</v>
      </c>
      <c r="B15" s="6" t="s">
        <v>186</v>
      </c>
      <c r="C15" s="7" t="s">
        <v>65</v>
      </c>
      <c r="D15" s="8" t="s">
        <v>143</v>
      </c>
      <c r="E15" s="7" t="s">
        <v>84</v>
      </c>
      <c r="F15" s="8" t="s">
        <v>85</v>
      </c>
      <c r="G15" s="8"/>
      <c r="H15" s="8" t="s">
        <v>206</v>
      </c>
      <c r="I15" s="8"/>
      <c r="J15" s="8"/>
      <c r="K15" s="9" t="s">
        <v>36</v>
      </c>
      <c r="M15" s="9">
        <v>1</v>
      </c>
      <c r="N15" s="7" t="s">
        <v>144</v>
      </c>
      <c r="O15" s="8" t="s">
        <v>145</v>
      </c>
      <c r="P15" s="8"/>
      <c r="Q15" s="8"/>
      <c r="R15" s="8"/>
      <c r="S15" s="10">
        <v>46142</v>
      </c>
      <c r="T15" s="8" t="s">
        <v>88</v>
      </c>
      <c r="V15" s="12"/>
    </row>
    <row r="16" spans="1:23" ht="409.5" x14ac:dyDescent="0.2">
      <c r="A16" s="5" t="s">
        <v>48</v>
      </c>
      <c r="B16" s="6" t="s">
        <v>187</v>
      </c>
      <c r="C16" s="7" t="s">
        <v>110</v>
      </c>
      <c r="D16" s="8" t="s">
        <v>146</v>
      </c>
      <c r="E16" s="7" t="s">
        <v>84</v>
      </c>
      <c r="F16" s="8" t="s">
        <v>85</v>
      </c>
      <c r="G16" s="8"/>
      <c r="H16" s="8" t="s">
        <v>206</v>
      </c>
      <c r="I16" s="8"/>
      <c r="J16" s="8"/>
      <c r="K16" s="9" t="s">
        <v>36</v>
      </c>
      <c r="M16" s="9">
        <v>1</v>
      </c>
      <c r="N16" s="7" t="s">
        <v>147</v>
      </c>
      <c r="O16" s="8" t="s">
        <v>148</v>
      </c>
      <c r="P16" s="8"/>
      <c r="Q16" s="8"/>
      <c r="R16" s="8"/>
      <c r="S16" s="10">
        <v>46142</v>
      </c>
      <c r="T16" s="8" t="s">
        <v>88</v>
      </c>
      <c r="V16" s="12"/>
    </row>
    <row r="17" spans="1:22" ht="56.25" x14ac:dyDescent="0.2">
      <c r="A17" s="5" t="s">
        <v>48</v>
      </c>
      <c r="B17" s="6" t="s">
        <v>188</v>
      </c>
      <c r="C17" s="7" t="s">
        <v>66</v>
      </c>
      <c r="D17" s="8" t="s">
        <v>149</v>
      </c>
      <c r="E17" s="7" t="s">
        <v>84</v>
      </c>
      <c r="F17" s="8" t="s">
        <v>85</v>
      </c>
      <c r="G17" s="8"/>
      <c r="H17" s="8" t="s">
        <v>206</v>
      </c>
      <c r="I17" s="8"/>
      <c r="J17" s="8"/>
      <c r="K17" s="9" t="s">
        <v>36</v>
      </c>
      <c r="M17" s="9">
        <v>1</v>
      </c>
      <c r="N17" s="7" t="s">
        <v>150</v>
      </c>
      <c r="O17" s="8" t="s">
        <v>151</v>
      </c>
      <c r="P17" s="8"/>
      <c r="Q17" s="8"/>
      <c r="R17" s="8"/>
      <c r="S17" s="10">
        <v>46142</v>
      </c>
      <c r="T17" s="8" t="s">
        <v>88</v>
      </c>
      <c r="V17" s="12"/>
    </row>
    <row r="18" spans="1:22" ht="409.5" x14ac:dyDescent="0.2">
      <c r="A18" s="5" t="s">
        <v>48</v>
      </c>
      <c r="B18" s="6" t="s">
        <v>189</v>
      </c>
      <c r="C18" s="7" t="s">
        <v>67</v>
      </c>
      <c r="D18" s="8" t="s">
        <v>152</v>
      </c>
      <c r="E18" s="7" t="s">
        <v>84</v>
      </c>
      <c r="F18" s="8" t="s">
        <v>85</v>
      </c>
      <c r="G18" s="8"/>
      <c r="H18" s="8" t="s">
        <v>206</v>
      </c>
      <c r="I18" s="8"/>
      <c r="J18" s="8"/>
      <c r="K18" s="9" t="s">
        <v>36</v>
      </c>
      <c r="M18" s="9">
        <v>1</v>
      </c>
      <c r="N18" s="7" t="s">
        <v>153</v>
      </c>
      <c r="O18" s="8" t="s">
        <v>151</v>
      </c>
      <c r="P18" s="8"/>
      <c r="Q18" s="8"/>
      <c r="R18" s="8"/>
      <c r="S18" s="10">
        <v>46142</v>
      </c>
      <c r="T18" s="8" t="s">
        <v>88</v>
      </c>
      <c r="V18" s="12"/>
    </row>
    <row r="19" spans="1:22" ht="409.5" x14ac:dyDescent="0.2">
      <c r="A19" s="5" t="s">
        <v>48</v>
      </c>
      <c r="B19" s="6" t="s">
        <v>190</v>
      </c>
      <c r="C19" s="7" t="s">
        <v>63</v>
      </c>
      <c r="D19" s="8" t="s">
        <v>154</v>
      </c>
      <c r="E19" s="7" t="s">
        <v>84</v>
      </c>
      <c r="F19" s="8" t="s">
        <v>85</v>
      </c>
      <c r="G19" s="8"/>
      <c r="H19" s="8" t="s">
        <v>206</v>
      </c>
      <c r="I19" s="8"/>
      <c r="J19" s="8"/>
      <c r="K19" s="9" t="s">
        <v>36</v>
      </c>
      <c r="M19" s="9">
        <v>1</v>
      </c>
      <c r="N19" s="7" t="s">
        <v>155</v>
      </c>
      <c r="O19" s="8" t="s">
        <v>156</v>
      </c>
      <c r="P19" s="8"/>
      <c r="Q19" s="8"/>
      <c r="R19" s="8"/>
      <c r="S19" s="10">
        <v>46142</v>
      </c>
      <c r="T19" s="8" t="s">
        <v>88</v>
      </c>
      <c r="V19" s="12"/>
    </row>
    <row r="20" spans="1:22" ht="56.25" x14ac:dyDescent="0.2">
      <c r="A20" s="5" t="s">
        <v>48</v>
      </c>
      <c r="B20" s="6" t="s">
        <v>191</v>
      </c>
      <c r="C20" s="7" t="s">
        <v>68</v>
      </c>
      <c r="D20" s="8" t="s">
        <v>157</v>
      </c>
      <c r="E20" s="7" t="s">
        <v>84</v>
      </c>
      <c r="F20" s="8" t="s">
        <v>85</v>
      </c>
      <c r="G20" s="8"/>
      <c r="H20" s="8" t="s">
        <v>206</v>
      </c>
      <c r="I20" s="8"/>
      <c r="J20" s="8"/>
      <c r="K20" s="9" t="s">
        <v>36</v>
      </c>
      <c r="M20" s="9">
        <v>1</v>
      </c>
      <c r="N20" s="7" t="s">
        <v>161</v>
      </c>
      <c r="O20" s="8" t="s">
        <v>158</v>
      </c>
      <c r="P20" s="8"/>
      <c r="Q20" s="8"/>
      <c r="R20" s="8"/>
      <c r="S20" s="10">
        <v>46142</v>
      </c>
      <c r="T20" s="8" t="s">
        <v>88</v>
      </c>
      <c r="V20" s="12"/>
    </row>
    <row r="21" spans="1:22" ht="114.75" x14ac:dyDescent="0.2">
      <c r="A21" s="5" t="s">
        <v>48</v>
      </c>
      <c r="B21" s="6" t="s">
        <v>192</v>
      </c>
      <c r="C21" s="7" t="s">
        <v>69</v>
      </c>
      <c r="D21" s="8" t="s">
        <v>159</v>
      </c>
      <c r="E21" s="7" t="s">
        <v>84</v>
      </c>
      <c r="F21" s="8" t="s">
        <v>85</v>
      </c>
      <c r="G21" s="8"/>
      <c r="H21" s="8" t="s">
        <v>206</v>
      </c>
      <c r="I21" s="8"/>
      <c r="J21" s="8"/>
      <c r="K21" s="9" t="s">
        <v>36</v>
      </c>
      <c r="M21" s="9">
        <v>1</v>
      </c>
      <c r="N21" s="7" t="s">
        <v>160</v>
      </c>
      <c r="O21" s="8" t="s">
        <v>162</v>
      </c>
      <c r="P21" s="8"/>
      <c r="Q21" s="8"/>
      <c r="R21" s="8"/>
      <c r="S21" s="10">
        <v>46142</v>
      </c>
      <c r="T21" s="8" t="s">
        <v>88</v>
      </c>
      <c r="V21" s="12"/>
    </row>
    <row r="22" spans="1:22" ht="127.5" x14ac:dyDescent="0.2">
      <c r="A22" s="5" t="s">
        <v>48</v>
      </c>
      <c r="B22" s="6" t="s">
        <v>193</v>
      </c>
      <c r="C22" s="7" t="s">
        <v>70</v>
      </c>
      <c r="D22" s="8" t="s">
        <v>163</v>
      </c>
      <c r="E22" s="7" t="s">
        <v>84</v>
      </c>
      <c r="F22" s="8" t="s">
        <v>85</v>
      </c>
      <c r="G22" s="8"/>
      <c r="H22" s="8" t="s">
        <v>206</v>
      </c>
      <c r="I22" s="8"/>
      <c r="J22" s="8"/>
      <c r="K22" s="9" t="s">
        <v>36</v>
      </c>
      <c r="M22" s="9">
        <v>1</v>
      </c>
      <c r="N22" s="7" t="s">
        <v>164</v>
      </c>
      <c r="O22" s="8" t="s">
        <v>165</v>
      </c>
      <c r="P22" s="8"/>
      <c r="Q22" s="8"/>
      <c r="R22" s="8"/>
      <c r="S22" s="10">
        <v>46142</v>
      </c>
      <c r="T22" s="8" t="s">
        <v>88</v>
      </c>
      <c r="V22" s="12"/>
    </row>
    <row r="23" spans="1:22" ht="127.5" x14ac:dyDescent="0.2">
      <c r="A23" s="5" t="s">
        <v>48</v>
      </c>
      <c r="B23" s="6" t="s">
        <v>194</v>
      </c>
      <c r="C23" s="7" t="s">
        <v>71</v>
      </c>
      <c r="D23" s="8" t="s">
        <v>166</v>
      </c>
      <c r="E23" s="7" t="s">
        <v>84</v>
      </c>
      <c r="F23" s="8" t="s">
        <v>85</v>
      </c>
      <c r="G23" s="8"/>
      <c r="H23" s="8" t="s">
        <v>206</v>
      </c>
      <c r="I23" s="8"/>
      <c r="J23" s="8"/>
      <c r="K23" s="9" t="s">
        <v>36</v>
      </c>
      <c r="M23" s="9">
        <v>1</v>
      </c>
      <c r="N23" s="7" t="s">
        <v>167</v>
      </c>
      <c r="O23" s="8" t="s">
        <v>165</v>
      </c>
      <c r="P23" s="8"/>
      <c r="Q23" s="8"/>
      <c r="R23" s="8"/>
      <c r="S23" s="10">
        <v>46142</v>
      </c>
      <c r="T23" s="8" t="s">
        <v>88</v>
      </c>
      <c r="V23" s="12"/>
    </row>
    <row r="24" spans="1:22" ht="102" x14ac:dyDescent="0.2">
      <c r="A24" s="5" t="s">
        <v>48</v>
      </c>
      <c r="B24" s="6" t="s">
        <v>195</v>
      </c>
      <c r="C24" s="7" t="s">
        <v>72</v>
      </c>
      <c r="D24" s="8" t="s">
        <v>168</v>
      </c>
      <c r="E24" s="7" t="s">
        <v>84</v>
      </c>
      <c r="F24" s="8" t="s">
        <v>85</v>
      </c>
      <c r="G24" s="8"/>
      <c r="H24" s="8" t="s">
        <v>206</v>
      </c>
      <c r="I24" s="8"/>
      <c r="J24" s="8"/>
      <c r="K24" s="9" t="s">
        <v>36</v>
      </c>
      <c r="M24" s="9">
        <v>1</v>
      </c>
      <c r="N24" s="7" t="s">
        <v>169</v>
      </c>
      <c r="O24" s="8" t="s">
        <v>170</v>
      </c>
      <c r="P24" s="8"/>
      <c r="Q24" s="8"/>
      <c r="R24" s="8"/>
      <c r="S24" s="10">
        <v>46142</v>
      </c>
      <c r="T24" s="8" t="s">
        <v>88</v>
      </c>
      <c r="V24" s="12"/>
    </row>
    <row r="25" spans="1:22" ht="242.25" x14ac:dyDescent="0.2">
      <c r="A25" s="5" t="s">
        <v>48</v>
      </c>
      <c r="B25" s="6" t="s">
        <v>196</v>
      </c>
      <c r="C25" s="7" t="s">
        <v>73</v>
      </c>
      <c r="D25" s="8" t="s">
        <v>171</v>
      </c>
      <c r="E25" s="7" t="s">
        <v>84</v>
      </c>
      <c r="F25" s="8" t="s">
        <v>85</v>
      </c>
      <c r="G25" s="8"/>
      <c r="H25" s="8" t="s">
        <v>206</v>
      </c>
      <c r="I25" s="8"/>
      <c r="J25" s="8"/>
      <c r="K25" s="9" t="s">
        <v>36</v>
      </c>
      <c r="M25" s="9">
        <v>1</v>
      </c>
      <c r="N25" s="7" t="s">
        <v>172</v>
      </c>
      <c r="O25" s="8" t="s">
        <v>173</v>
      </c>
      <c r="P25" s="8"/>
      <c r="Q25" s="8"/>
      <c r="R25" s="8"/>
      <c r="S25" s="10">
        <v>46142</v>
      </c>
      <c r="T25" s="8" t="s">
        <v>88</v>
      </c>
      <c r="V25" s="12"/>
    </row>
    <row r="26" spans="1:22" ht="114.75" x14ac:dyDescent="0.2">
      <c r="A26" s="5" t="s">
        <v>49</v>
      </c>
      <c r="B26" s="6" t="s">
        <v>197</v>
      </c>
      <c r="C26" s="7" t="s">
        <v>75</v>
      </c>
      <c r="D26" s="8" t="s">
        <v>83</v>
      </c>
      <c r="E26" s="7" t="s">
        <v>84</v>
      </c>
      <c r="F26" s="8" t="s">
        <v>85</v>
      </c>
      <c r="G26" s="8"/>
      <c r="H26" s="8" t="s">
        <v>206</v>
      </c>
      <c r="I26" s="8"/>
      <c r="J26" s="8"/>
      <c r="K26" s="9" t="s">
        <v>36</v>
      </c>
      <c r="M26" s="9">
        <v>1</v>
      </c>
      <c r="N26" s="7" t="s">
        <v>86</v>
      </c>
      <c r="O26" s="8" t="s">
        <v>87</v>
      </c>
      <c r="P26" s="8"/>
      <c r="Q26" s="8"/>
      <c r="R26" s="8"/>
      <c r="S26" s="10">
        <v>46140</v>
      </c>
      <c r="T26" s="8" t="s">
        <v>88</v>
      </c>
      <c r="V26" s="12"/>
    </row>
    <row r="27" spans="1:22" ht="229.5" x14ac:dyDescent="0.2">
      <c r="A27" s="5" t="s">
        <v>49</v>
      </c>
      <c r="B27" s="6" t="s">
        <v>198</v>
      </c>
      <c r="C27" s="7" t="s">
        <v>76</v>
      </c>
      <c r="D27" s="8" t="s">
        <v>89</v>
      </c>
      <c r="E27" s="7" t="s">
        <v>84</v>
      </c>
      <c r="F27" s="8" t="s">
        <v>85</v>
      </c>
      <c r="G27" s="8"/>
      <c r="H27" s="8" t="s">
        <v>206</v>
      </c>
      <c r="I27" s="8"/>
      <c r="J27" s="8"/>
      <c r="K27" s="9" t="s">
        <v>36</v>
      </c>
      <c r="M27" s="9">
        <v>1</v>
      </c>
      <c r="N27" s="7" t="s">
        <v>90</v>
      </c>
      <c r="O27" s="8" t="s">
        <v>91</v>
      </c>
      <c r="P27" s="8"/>
      <c r="Q27" s="8"/>
      <c r="R27" s="8"/>
      <c r="S27" s="10">
        <v>46140</v>
      </c>
      <c r="T27" s="8" t="s">
        <v>88</v>
      </c>
      <c r="V27" s="12"/>
    </row>
    <row r="28" spans="1:22" ht="382.5" x14ac:dyDescent="0.2">
      <c r="A28" s="5" t="s">
        <v>49</v>
      </c>
      <c r="B28" s="6" t="s">
        <v>199</v>
      </c>
      <c r="C28" s="7" t="s">
        <v>77</v>
      </c>
      <c r="D28" s="8" t="s">
        <v>92</v>
      </c>
      <c r="E28" s="7" t="s">
        <v>84</v>
      </c>
      <c r="F28" s="8" t="s">
        <v>85</v>
      </c>
      <c r="G28" s="8"/>
      <c r="H28" s="8" t="s">
        <v>206</v>
      </c>
      <c r="I28" s="8"/>
      <c r="J28" s="8"/>
      <c r="K28" s="9" t="s">
        <v>36</v>
      </c>
      <c r="M28" s="9">
        <v>1</v>
      </c>
      <c r="N28" s="7" t="s">
        <v>93</v>
      </c>
      <c r="O28" s="8" t="s">
        <v>94</v>
      </c>
      <c r="P28" s="8"/>
      <c r="Q28" s="8"/>
      <c r="R28" s="8"/>
      <c r="S28" s="10">
        <v>46140</v>
      </c>
      <c r="T28" s="8" t="s">
        <v>88</v>
      </c>
      <c r="V28" s="12"/>
    </row>
    <row r="29" spans="1:22" ht="382.5" x14ac:dyDescent="0.2">
      <c r="A29" s="5" t="s">
        <v>50</v>
      </c>
      <c r="B29" s="6" t="s">
        <v>200</v>
      </c>
      <c r="C29" s="7" t="s">
        <v>78</v>
      </c>
      <c r="D29" s="8" t="s">
        <v>95</v>
      </c>
      <c r="E29" s="7" t="s">
        <v>84</v>
      </c>
      <c r="F29" s="8" t="s">
        <v>85</v>
      </c>
      <c r="G29" s="8"/>
      <c r="H29" s="8" t="s">
        <v>206</v>
      </c>
      <c r="I29" s="8"/>
      <c r="J29" s="8"/>
      <c r="K29" s="9" t="s">
        <v>36</v>
      </c>
      <c r="M29" s="9">
        <v>1</v>
      </c>
      <c r="N29" s="7" t="s">
        <v>96</v>
      </c>
      <c r="O29" s="8" t="s">
        <v>97</v>
      </c>
      <c r="P29" s="8"/>
      <c r="Q29" s="8"/>
      <c r="R29" s="8"/>
      <c r="S29" s="10">
        <v>46140</v>
      </c>
      <c r="T29" s="8" t="s">
        <v>88</v>
      </c>
      <c r="V29" s="12"/>
    </row>
    <row r="30" spans="1:22" ht="382.5" x14ac:dyDescent="0.2">
      <c r="A30" s="5" t="s">
        <v>50</v>
      </c>
      <c r="B30" s="6" t="s">
        <v>201</v>
      </c>
      <c r="C30" s="7" t="s">
        <v>79</v>
      </c>
      <c r="D30" s="8" t="s">
        <v>98</v>
      </c>
      <c r="E30" s="7" t="s">
        <v>84</v>
      </c>
      <c r="F30" s="8" t="s">
        <v>85</v>
      </c>
      <c r="G30" s="8"/>
      <c r="H30" s="8" t="s">
        <v>206</v>
      </c>
      <c r="I30" s="8"/>
      <c r="J30" s="8"/>
      <c r="K30" s="9" t="s">
        <v>36</v>
      </c>
      <c r="M30" s="9">
        <v>1</v>
      </c>
      <c r="N30" s="7" t="s">
        <v>99</v>
      </c>
      <c r="O30" s="8" t="s">
        <v>100</v>
      </c>
      <c r="P30" s="8"/>
      <c r="Q30" s="8"/>
      <c r="R30" s="8"/>
      <c r="S30" s="10">
        <v>46140</v>
      </c>
      <c r="T30" s="8" t="s">
        <v>88</v>
      </c>
      <c r="V30" s="12"/>
    </row>
    <row r="31" spans="1:22" ht="382.5" x14ac:dyDescent="0.2">
      <c r="A31" s="5" t="s">
        <v>50</v>
      </c>
      <c r="B31" s="6" t="s">
        <v>202</v>
      </c>
      <c r="C31" s="7" t="s">
        <v>80</v>
      </c>
      <c r="D31" s="8" t="s">
        <v>101</v>
      </c>
      <c r="E31" s="7" t="s">
        <v>84</v>
      </c>
      <c r="F31" s="8" t="s">
        <v>85</v>
      </c>
      <c r="G31" s="8"/>
      <c r="H31" s="8" t="s">
        <v>206</v>
      </c>
      <c r="I31" s="8"/>
      <c r="J31" s="8"/>
      <c r="K31" s="9" t="s">
        <v>36</v>
      </c>
      <c r="M31" s="9">
        <v>1</v>
      </c>
      <c r="N31" s="7" t="s">
        <v>102</v>
      </c>
      <c r="O31" s="8" t="s">
        <v>103</v>
      </c>
      <c r="P31" s="8"/>
      <c r="Q31" s="8"/>
      <c r="R31" s="8"/>
      <c r="S31" s="10">
        <v>46140</v>
      </c>
      <c r="T31" s="8" t="s">
        <v>88</v>
      </c>
      <c r="V31" s="12"/>
    </row>
    <row r="32" spans="1:22" ht="56.25" x14ac:dyDescent="0.2">
      <c r="A32" s="5" t="s">
        <v>50</v>
      </c>
      <c r="B32" s="6" t="s">
        <v>203</v>
      </c>
      <c r="C32" s="7" t="s">
        <v>81</v>
      </c>
      <c r="D32" s="7" t="s">
        <v>104</v>
      </c>
      <c r="E32" s="7" t="s">
        <v>84</v>
      </c>
      <c r="F32" s="8" t="s">
        <v>85</v>
      </c>
      <c r="G32" s="8"/>
      <c r="H32" s="8" t="s">
        <v>206</v>
      </c>
      <c r="I32" s="8"/>
      <c r="J32" s="8"/>
      <c r="K32" s="9" t="s">
        <v>36</v>
      </c>
      <c r="M32" s="9">
        <v>1</v>
      </c>
      <c r="N32" s="7" t="s">
        <v>105</v>
      </c>
      <c r="O32" s="8" t="s">
        <v>106</v>
      </c>
      <c r="P32" s="8"/>
      <c r="Q32" s="8"/>
      <c r="R32" s="8"/>
      <c r="S32" s="10">
        <v>46140</v>
      </c>
      <c r="T32" s="8" t="s">
        <v>88</v>
      </c>
      <c r="V32" s="12"/>
    </row>
    <row r="33" spans="1:22" ht="382.5" x14ac:dyDescent="0.2">
      <c r="A33" s="5" t="s">
        <v>51</v>
      </c>
      <c r="B33" s="6" t="s">
        <v>204</v>
      </c>
      <c r="C33" s="7" t="s">
        <v>82</v>
      </c>
      <c r="D33" s="8" t="s">
        <v>107</v>
      </c>
      <c r="E33" s="7" t="s">
        <v>84</v>
      </c>
      <c r="F33" s="8" t="s">
        <v>85</v>
      </c>
      <c r="G33" s="8"/>
      <c r="H33" s="8" t="s">
        <v>206</v>
      </c>
      <c r="I33" s="8"/>
      <c r="J33" s="8"/>
      <c r="K33" s="9" t="s">
        <v>36</v>
      </c>
      <c r="M33" s="9">
        <v>1</v>
      </c>
      <c r="N33" s="7" t="s">
        <v>108</v>
      </c>
      <c r="O33" s="8" t="s">
        <v>109</v>
      </c>
      <c r="P33" s="8"/>
      <c r="Q33" s="8"/>
      <c r="R33" s="8"/>
      <c r="S33" s="10">
        <v>46140</v>
      </c>
      <c r="T33" s="8" t="s">
        <v>88</v>
      </c>
      <c r="V33" s="12"/>
    </row>
    <row r="34" spans="1:22" x14ac:dyDescent="0.2">
      <c r="A34" s="5"/>
      <c r="B34" s="6"/>
      <c r="C34" s="7"/>
      <c r="D34" s="8"/>
      <c r="E34" s="7"/>
      <c r="F34" s="8"/>
      <c r="G34" s="8"/>
      <c r="H34" s="8"/>
      <c r="I34" s="8"/>
      <c r="J34" s="8"/>
      <c r="K34" s="9"/>
      <c r="M34" s="9"/>
      <c r="O34" s="8"/>
      <c r="P34" s="8"/>
      <c r="Q34" s="8"/>
      <c r="R34" s="8"/>
      <c r="S34" s="10"/>
      <c r="T34" s="8"/>
      <c r="V34" s="12"/>
    </row>
    <row r="35" spans="1:22" x14ac:dyDescent="0.2">
      <c r="A35" s="5"/>
      <c r="B35" s="6"/>
      <c r="C35" s="7"/>
      <c r="D35" s="8"/>
      <c r="E35" s="7"/>
      <c r="F35" s="8"/>
      <c r="G35" s="8"/>
      <c r="H35" s="8"/>
      <c r="I35" s="8"/>
      <c r="J35" s="8"/>
      <c r="K35" s="9"/>
      <c r="M35" s="9"/>
      <c r="O35" s="8"/>
      <c r="P35" s="8"/>
      <c r="Q35" s="8"/>
      <c r="R35" s="8"/>
      <c r="S35" s="10"/>
      <c r="T35" s="8"/>
      <c r="V35" s="12"/>
    </row>
    <row r="36" spans="1:22" x14ac:dyDescent="0.2">
      <c r="A36" s="5"/>
      <c r="B36" s="6"/>
      <c r="C36" s="7"/>
      <c r="D36" s="8"/>
      <c r="E36" s="7"/>
      <c r="F36" s="8"/>
      <c r="G36" s="8"/>
      <c r="H36" s="8"/>
      <c r="I36" s="8"/>
      <c r="J36" s="8"/>
      <c r="K36" s="9"/>
      <c r="M36" s="9"/>
      <c r="O36" s="8"/>
      <c r="P36" s="8"/>
      <c r="Q36" s="8"/>
      <c r="R36" s="8"/>
      <c r="S36" s="10"/>
      <c r="T36" s="8"/>
      <c r="V36" s="12"/>
    </row>
  </sheetData>
  <autoFilter ref="A1:W376" xr:uid="{00000000-0001-0000-0000-000000000000}"/>
  <phoneticPr fontId="2" type="noConversion"/>
  <conditionalFormatting sqref="A2:A33">
    <cfRule type="expression" dxfId="32" priority="34">
      <formula>#REF!="W1"</formula>
    </cfRule>
  </conditionalFormatting>
  <conditionalFormatting sqref="C31:C32 C33:D36 M3:R4 M5:M7 O5:R7 T2:W14 S3:S14 M8:R14 G19:J19 M15:W36 A2:B33 A34:C36 G29:J33 E34:K36 G2:Q2 G3:J9 G10:G15 I10:J15 H10:H33">
    <cfRule type="expression" dxfId="31" priority="91" stopIfTrue="1">
      <formula>ISBLANK($M2)</formula>
    </cfRule>
  </conditionalFormatting>
  <conditionalFormatting sqref="A34:A36">
    <cfRule type="expression" dxfId="30" priority="85" stopIfTrue="1">
      <formula>ISBLANK($M34)</formula>
    </cfRule>
    <cfRule type="expression" dxfId="29" priority="86">
      <formula>NOT(ISBLANK($M34))</formula>
    </cfRule>
    <cfRule type="expression" dxfId="28" priority="231" stopIfTrue="1">
      <formula>ISBLANK($M34)</formula>
    </cfRule>
    <cfRule type="expression" dxfId="27" priority="238">
      <formula>NOT(ISBLANK($M34))</formula>
    </cfRule>
    <cfRule type="expression" dxfId="26" priority="250">
      <formula>#REF!="W1"</formula>
    </cfRule>
  </conditionalFormatting>
  <conditionalFormatting sqref="R2:S2">
    <cfRule type="expression" dxfId="25" priority="143" stopIfTrue="1">
      <formula>ISBLANK($M2)</formula>
    </cfRule>
  </conditionalFormatting>
  <conditionalFormatting sqref="B2:B33">
    <cfRule type="expression" dxfId="24" priority="27">
      <formula>$M2=1</formula>
    </cfRule>
  </conditionalFormatting>
  <conditionalFormatting sqref="B34:B36">
    <cfRule type="expression" dxfId="23" priority="232">
      <formula>$M34=1</formula>
    </cfRule>
  </conditionalFormatting>
  <conditionalFormatting sqref="B2:C2 L20:L36 K20:K33 C3:D30 E2:F33 K3:L19 B3:B5 G16:G18 I16:J18 G20:G28 I20:J28">
    <cfRule type="expression" dxfId="22" priority="26" stopIfTrue="1">
      <formula>ISBLANK($M2)</formula>
    </cfRule>
    <cfRule type="expression" dxfId="21" priority="30">
      <formula>NOT(ISBLANK($M2))</formula>
    </cfRule>
  </conditionalFormatting>
  <conditionalFormatting sqref="C37:C1048576 C1">
    <cfRule type="expression" dxfId="20" priority="249">
      <formula>$M:$M=1</formula>
    </cfRule>
  </conditionalFormatting>
  <conditionalFormatting sqref="C2:C36">
    <cfRule type="expression" dxfId="19" priority="23" stopIfTrue="1">
      <formula>$M2&lt;&gt;1</formula>
    </cfRule>
    <cfRule type="expression" dxfId="18" priority="29">
      <formula>$M2=1</formula>
    </cfRule>
  </conditionalFormatting>
  <conditionalFormatting sqref="C28:C33">
    <cfRule type="expression" dxfId="17" priority="35" stopIfTrue="1">
      <formula>ISBLANK($M28)</formula>
    </cfRule>
  </conditionalFormatting>
  <conditionalFormatting sqref="M3:R4 G29:J33 E34:K36 M5:M7 O5:R7 S2:W14 M8:R14 G19:J19 M15:W25 A2:B33 G2:R2 C28:C33 C33:D36 A34:C36 G3:J9 G10:G15 I10:J15 H10:H33">
    <cfRule type="expression" dxfId="16" priority="36">
      <formula>NOT(ISBLANK($M2))</formula>
    </cfRule>
  </conditionalFormatting>
  <conditionalFormatting sqref="D2">
    <cfRule type="expression" dxfId="15" priority="18" stopIfTrue="1">
      <formula>ISBLANK($M2)</formula>
    </cfRule>
  </conditionalFormatting>
  <conditionalFormatting sqref="D2">
    <cfRule type="expression" dxfId="14" priority="19">
      <formula>NOT(ISBLANK($M2))</formula>
    </cfRule>
  </conditionalFormatting>
  <conditionalFormatting sqref="D31">
    <cfRule type="expression" dxfId="13" priority="255" stopIfTrue="1">
      <formula>ISBLANK($M32)</formula>
    </cfRule>
    <cfRule type="expression" dxfId="12" priority="256">
      <formula>NOT(ISBLANK($M32))</formula>
    </cfRule>
  </conditionalFormatting>
  <conditionalFormatting sqref="L1:M1">
    <cfRule type="expression" dxfId="11" priority="248">
      <formula>NOT(ISBLANK($M:$M))</formula>
    </cfRule>
  </conditionalFormatting>
  <conditionalFormatting sqref="M2:M36">
    <cfRule type="cellIs" dxfId="10" priority="22" operator="equal">
      <formula>1</formula>
    </cfRule>
  </conditionalFormatting>
  <conditionalFormatting sqref="Q1:T1">
    <cfRule type="expression" dxfId="9" priority="246" stopIfTrue="1">
      <formula>ISBLANK($M:$M)</formula>
    </cfRule>
    <cfRule type="expression" dxfId="8" priority="247">
      <formula>NOT(ISBLANK($M:$M))</formula>
    </cfRule>
  </conditionalFormatting>
  <conditionalFormatting sqref="R1:R36 L1">
    <cfRule type="expression" dxfId="7" priority="241" stopIfTrue="1">
      <formula>ISBLANK($M:$M)</formula>
    </cfRule>
  </conditionalFormatting>
  <conditionalFormatting sqref="M26:W36">
    <cfRule type="expression" dxfId="4" priority="92">
      <formula>NOT(ISBLANK($M26))</formula>
    </cfRule>
  </conditionalFormatting>
  <conditionalFormatting sqref="N5:N7">
    <cfRule type="expression" dxfId="3" priority="258" stopIfTrue="1">
      <formula>ISBLANK($M6)</formula>
    </cfRule>
  </conditionalFormatting>
  <conditionalFormatting sqref="N5:N7">
    <cfRule type="expression" dxfId="2" priority="269">
      <formula>NOT(ISBLANK($M6))</formula>
    </cfRule>
  </conditionalFormatting>
  <dataValidations count="4">
    <dataValidation type="list" allowBlank="1" showInputMessage="1" showErrorMessage="1" sqref="K2:K1048576" xr:uid="{E43F5908-F7D9-4B5F-9553-D899692891DD}">
      <formula1>PosNegValidation</formula1>
    </dataValidation>
    <dataValidation type="list" allowBlank="1" showInputMessage="1" showErrorMessage="1" sqref="E2:E1048576" xr:uid="{7638614A-2894-4906-BF78-59A62866DA22}">
      <formula1>TestLevelValidation</formula1>
    </dataValidation>
    <dataValidation type="list" allowBlank="1" showInputMessage="1" showErrorMessage="1" sqref="F2:F1048576" xr:uid="{7F8CE5DD-0C2C-4D93-B6B6-60BE52D50D8B}">
      <formula1>RiskAreaValidation</formula1>
    </dataValidation>
    <dataValidation type="list" allowBlank="1" showInputMessage="1" showErrorMessage="1" sqref="T2:T1048576" xr:uid="{7E347E54-9352-49FC-8368-FCEA470D349E}">
      <formula1>AuthorValidation</formula1>
    </dataValidation>
  </dataValidations>
  <pageMargins left="0.7" right="0.7" top="0.75" bottom="0.75" header="0.3" footer="0.3"/>
  <pageSetup paperSize="9" orientation="portrait" r:id="rId1"/>
  <headerFooter>
    <oddFooter>&amp;L_x000D_&amp;1#&amp;"Aptos"&amp;10&amp;K000000 Sensitivity: C1-Internal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39" operator="containsText" id="{0EE57DDC-3A79-4316-AD0D-9CE6A5B6A925}">
            <xm:f>NOT(ISERROR(SEARCH("Done",R2)))</xm:f>
            <xm:f>"Done"</xm:f>
            <x14:dxf>
              <font>
                <b/>
                <i val="0"/>
                <color rgb="FF008000"/>
              </font>
            </x14:dxf>
          </x14:cfRule>
          <x14:cfRule type="containsText" priority="240" operator="containsText" id="{204F36E5-AB4E-4602-86EB-4D2E35F37306}">
            <xm:f>NOT(ISERROR(SEARCH("Draft",R2)))</xm:f>
            <xm:f>"Draft"</xm:f>
            <x14:dxf>
              <font>
                <b/>
                <i val="0"/>
                <color rgb="FFFF6600"/>
              </font>
            </x14:dxf>
          </x14:cfRule>
          <xm:sqref>R2:R36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92FABB4-35F6-4D7A-BC51-78F2B9EE3CCB}">
          <x14:formula1>
            <xm:f>'Data Validation'!$C$2:$C$5</xm:f>
          </x14:formula1>
          <xm:sqref>Q3:Q1048576</xm:sqref>
        </x14:dataValidation>
        <x14:dataValidation type="list" allowBlank="1" showInputMessage="1" showErrorMessage="1" xr:uid="{FA57A5FF-EF10-4E88-87FF-05B0F4E42EFF}">
          <x14:formula1>
            <xm:f>'Data Validation'!$D$2:$D$3</xm:f>
          </x14:formula1>
          <xm:sqref>R2:R1048576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1D58C-6802-44C7-BDCC-771507B9C064}">
  <dimension ref="A1:M33"/>
  <sheetViews>
    <sheetView topLeftCell="B1" workbookViewId="0">
      <selection activeCell="G3" sqref="G3"/>
    </sheetView>
  </sheetViews>
  <sheetFormatPr defaultRowHeight="15" x14ac:dyDescent="0.25"/>
  <cols>
    <col min="1" max="1" width="37.140625" customWidth="1"/>
    <col min="2" max="2" width="33.42578125" bestFit="1" customWidth="1"/>
    <col min="3" max="3" width="32" bestFit="1" customWidth="1"/>
    <col min="4" max="4" width="28.85546875" bestFit="1" customWidth="1"/>
    <col min="5" max="5" width="11.85546875" bestFit="1" customWidth="1"/>
    <col min="6" max="6" width="15.5703125" bestFit="1" customWidth="1"/>
    <col min="9" max="9" width="8.5703125" bestFit="1" customWidth="1"/>
    <col min="11" max="11" width="17.85546875" bestFit="1" customWidth="1"/>
    <col min="12" max="12" width="17.7109375" bestFit="1" customWidth="1"/>
    <col min="13" max="13" width="10.140625" bestFit="1" customWidth="1"/>
  </cols>
  <sheetData>
    <row r="1" spans="1:13" ht="15.75" x14ac:dyDescent="0.25">
      <c r="A1" s="1" t="s">
        <v>0</v>
      </c>
      <c r="B1" s="1" t="s">
        <v>6</v>
      </c>
      <c r="C1" s="1" t="s">
        <v>7</v>
      </c>
      <c r="D1" s="1" t="s">
        <v>24</v>
      </c>
      <c r="E1" s="1" t="s">
        <v>25</v>
      </c>
      <c r="F1" s="1" t="s">
        <v>26</v>
      </c>
      <c r="G1" s="1" t="s">
        <v>5</v>
      </c>
      <c r="H1" s="1" t="s">
        <v>4</v>
      </c>
      <c r="I1" s="1" t="s">
        <v>19</v>
      </c>
      <c r="J1" s="1" t="s">
        <v>16</v>
      </c>
      <c r="K1" s="1" t="s">
        <v>27</v>
      </c>
      <c r="L1" s="1" t="s">
        <v>28</v>
      </c>
      <c r="M1" s="1" t="s">
        <v>29</v>
      </c>
    </row>
    <row r="2" spans="1:13" x14ac:dyDescent="0.25">
      <c r="A2" t="str" cm="1">
        <f t="array" aca="1" ref="A2:A33" ca="1">_xlfn._xlws.FILTER(Design!A:A,Design!M:M=1)</f>
        <v>PRO240081\TestTecnici\ModernizzazionePortali\RiskEdq\ControlliSecondoLivello\TemplatesV1Controller</v>
      </c>
      <c r="B2" cm="1">
        <f t="array" aca="1" ref="B2:B33" ca="1">_xlfn._xlws.FILTER(Design!G:G,Design!M:M=1)</f>
        <v>0</v>
      </c>
      <c r="C2" t="e" cm="1">
        <f t="array" ref="C2">_xlfn._xlws.FILTER(Design!#REF!,Design!M:M=1)</f>
        <v>#REF!</v>
      </c>
      <c r="D2" t="str" cm="1">
        <f t="array" aca="1" ref="D2:D33" ca="1">_xlfn._xlws.FILTER(Design!D:D,Design!M:M=1)</f>
        <v>Lanciando la chiamata GET
/v1/riskaudit/{abi}/templates/{template}/note
si ottiene 200 OK con response body TemplateDTO</v>
      </c>
      <c r="E2" t="str" cm="1">
        <f t="array" aca="1" ref="E2:E33" ca="1">_xlfn._xlws.FILTER(Design!F:F,Design!M:M=1)</f>
        <v>Tecnico</v>
      </c>
      <c r="F2" cm="1">
        <f t="array" aca="1" ref="F2:F33" ca="1">_xlfn._xlws.FILTER(Design!J:J,Design!M:M=1)</f>
        <v>0</v>
      </c>
      <c r="G2" t="str" cm="1">
        <f t="array" aca="1" ref="G2:G33" ca="1">_xlfn._xlws.FILTER(Design!F:F,Design!M:M=1)</f>
        <v>Tecnico</v>
      </c>
      <c r="H2" t="str" cm="1">
        <f t="array" aca="1" ref="H2:H33" ca="1">_xlfn._xlws.FILTER(Design!E:E,Design!M:M=1)</f>
        <v>Integration</v>
      </c>
      <c r="I2" t="str" cm="1">
        <f t="array" aca="1" ref="I2:I33" ca="1">_xlfn._xlws.FILTER(Design!T:T,Design!M:M=1)</f>
        <v>Coratti Giorgia</v>
      </c>
      <c r="J2" cm="1">
        <f t="array" aca="1" ref="J2:J33" ca="1">_xlfn._xlws.FILTER(Design!Q:Q,Design!M:M=1)</f>
        <v>0</v>
      </c>
      <c r="K2" cm="1">
        <f t="array" aca="1" ref="K2:K33" ca="1">_xlfn._xlws.FILTER(Design!R:R,Design!M:M=1)</f>
        <v>0</v>
      </c>
      <c r="L2" t="e" cm="1">
        <f t="array" ref="L2">_xlfn._xlws.FILTER(Design!#REF!,Design!M:M=1)</f>
        <v>#REF!</v>
      </c>
      <c r="M2" t="str" cm="1">
        <f t="array" aca="1" ref="M2:M33" ca="1">_xlfn._xlws.FILTER(Design!B:B,Design!M:M=1)</f>
        <v>TC0001</v>
      </c>
    </row>
    <row r="3" spans="1:13" x14ac:dyDescent="0.25">
      <c r="A3" t="str">
        <f ca="1"/>
        <v>PRO240081\TestTecnici\ModernizzazionePortali\RiskEdq\ControlliSecondoLivello\TemplatesV1Controller</v>
      </c>
      <c r="B3">
        <f ca="1"/>
        <v>0</v>
      </c>
      <c r="D3" t="str">
        <f ca="1"/>
        <v>Lanciando la chiamata PUT
/v1/riskaudit/{abi}/templates/{template}/note
con request body NoteCreateDTO
si ottiene 200 OK con response body GenericResponse</v>
      </c>
      <c r="E3" t="str">
        <f ca="1"/>
        <v>Tecnico</v>
      </c>
      <c r="F3">
        <f ca="1"/>
        <v>0</v>
      </c>
      <c r="G3" t="str">
        <f ca="1"/>
        <v>Tecnico</v>
      </c>
      <c r="H3" t="str">
        <f ca="1"/>
        <v>Integration</v>
      </c>
      <c r="I3" t="str">
        <f ca="1"/>
        <v>Coratti Giorgia</v>
      </c>
      <c r="J3">
        <f ca="1"/>
        <v>0</v>
      </c>
      <c r="K3">
        <f ca="1"/>
        <v>0</v>
      </c>
      <c r="M3" t="str">
        <f ca="1"/>
        <v>TC0002</v>
      </c>
    </row>
    <row r="4" spans="1:13" x14ac:dyDescent="0.25">
      <c r="A4" t="str">
        <f ca="1"/>
        <v>PRO240081\TestTecnici\ModernizzazionePortali\RiskEdq\ControlliSecondoLivello\TemplatesV1Controller</v>
      </c>
      <c r="B4">
        <f ca="1"/>
        <v>0</v>
      </c>
      <c r="D4" t="str">
        <f ca="1"/>
        <v>Lanciando la chiamata POST
/v1/riskaudit/{abi}/templates/{template}/export
con request body SearchParameters,
si ottiene 200 OK con response body una stringa</v>
      </c>
      <c r="E4" t="str">
        <f ca="1"/>
        <v>Tecnico</v>
      </c>
      <c r="F4">
        <f ca="1"/>
        <v>0</v>
      </c>
      <c r="G4" t="str">
        <f ca="1"/>
        <v>Tecnico</v>
      </c>
      <c r="H4" t="str">
        <f ca="1"/>
        <v>Integration</v>
      </c>
      <c r="I4" t="str">
        <f ca="1"/>
        <v>Coratti Giorgia</v>
      </c>
      <c r="J4">
        <f ca="1"/>
        <v>0</v>
      </c>
      <c r="K4">
        <f ca="1"/>
        <v>0</v>
      </c>
      <c r="M4" t="str">
        <f ca="1"/>
        <v>TC0003</v>
      </c>
    </row>
    <row r="5" spans="1:13" x14ac:dyDescent="0.25">
      <c r="A5" t="str">
        <f ca="1"/>
        <v>PRO240081\TestTecnici\ModernizzazionePortali\RiskEdq\ControlliSecondoLivello\TemplatesV1Controller</v>
      </c>
      <c r="B5">
        <f ca="1"/>
        <v>0</v>
      </c>
      <c r="D5" t="str">
        <f ca="1"/>
        <v>Lanciando la chiamata POST
/v1/riskaudit/{abi}/templates/templateC/traded-instruments/search
con parametro di query non obbligatorio e request body SearchParameters,
si ottiene 200 OK con response body ListResultTemplateCTradedInstrumentsSearchDTO</v>
      </c>
      <c r="E5" t="str">
        <f ca="1"/>
        <v>Tecnico</v>
      </c>
      <c r="F5">
        <f ca="1"/>
        <v>0</v>
      </c>
      <c r="G5" t="str">
        <f ca="1"/>
        <v>Tecnico</v>
      </c>
      <c r="H5" t="str">
        <f ca="1"/>
        <v>Integration</v>
      </c>
      <c r="I5" t="str">
        <f ca="1"/>
        <v>Coratti Giorgia</v>
      </c>
      <c r="J5">
        <f ca="1"/>
        <v>0</v>
      </c>
      <c r="K5">
        <f ca="1"/>
        <v>0</v>
      </c>
      <c r="M5" t="str">
        <f ca="1"/>
        <v>TC0004</v>
      </c>
    </row>
    <row r="6" spans="1:13" x14ac:dyDescent="0.25">
      <c r="A6" t="str">
        <f ca="1"/>
        <v>PRO240081\TestTecnici\ModernizzazionePortali\RiskEdq\ControlliSecondoLivello\TemplatesV1Controller</v>
      </c>
      <c r="B6">
        <f ca="1"/>
        <v>0</v>
      </c>
      <c r="D6" t="str">
        <f ca="1"/>
        <v>Lanciando la chiamata POST
/v1/riskaudit/{abi}/templates/templateC/held-instruments/search
con parametro di query non obbligatorio e request body SearchParameters,
si ottiene 200 OK con response body ListResultTemplateCHeldInstrumentsSearchDTO</v>
      </c>
      <c r="E6" t="str">
        <f ca="1"/>
        <v>Tecnico</v>
      </c>
      <c r="F6">
        <f ca="1"/>
        <v>0</v>
      </c>
      <c r="G6" t="str">
        <f ca="1"/>
        <v>Tecnico</v>
      </c>
      <c r="H6" t="str">
        <f ca="1"/>
        <v>Integration</v>
      </c>
      <c r="I6" t="str">
        <f ca="1"/>
        <v>Coratti Giorgia</v>
      </c>
      <c r="J6">
        <f ca="1"/>
        <v>0</v>
      </c>
      <c r="K6">
        <f ca="1"/>
        <v>0</v>
      </c>
      <c r="M6" t="str">
        <f ca="1"/>
        <v>TC0005</v>
      </c>
    </row>
    <row r="7" spans="1:13" x14ac:dyDescent="0.25">
      <c r="A7" t="str">
        <f ca="1"/>
        <v>PRO240081\TestTecnici\ModernizzazionePortali\RiskEdq\ControlliSecondoLivello\TemplatesV1Controller</v>
      </c>
      <c r="B7">
        <f ca="1"/>
        <v>0</v>
      </c>
      <c r="D7" t="str">
        <f ca="1"/>
        <v>Lanciando la chiamata POST
/v1/riskaudit/{abi}/templates/templateB/search
con parametro di query non obbligatorio e request body SearchParameters,
si ottiene 200 OK con response body
ListResultTemplateBSearchDTO</v>
      </c>
      <c r="E7" t="str">
        <f ca="1"/>
        <v>Tecnico</v>
      </c>
      <c r="F7">
        <f ca="1"/>
        <v>0</v>
      </c>
      <c r="G7" t="str">
        <f ca="1"/>
        <v>Tecnico</v>
      </c>
      <c r="H7" t="str">
        <f ca="1"/>
        <v>Integration</v>
      </c>
      <c r="I7" t="str">
        <f ca="1"/>
        <v>Coratti Giorgia</v>
      </c>
      <c r="J7">
        <f ca="1"/>
        <v>0</v>
      </c>
      <c r="K7">
        <f ca="1"/>
        <v>0</v>
      </c>
      <c r="M7" t="str">
        <f ca="1"/>
        <v>TC0006</v>
      </c>
    </row>
    <row r="8" spans="1:13" x14ac:dyDescent="0.25">
      <c r="A8" t="str">
        <f ca="1"/>
        <v>PRO240081\TestTecnici\ModernizzazionePortali\RiskEdq\ControlliSecondoLivello\TemplatesV1Controller</v>
      </c>
      <c r="B8">
        <f ca="1"/>
        <v>0</v>
      </c>
      <c r="D8" t="str">
        <f ca="1"/>
        <v>Lanciando la chiamata POST
/v1/riskaudit/{abi}/templates/templateA/search
con parametro di query non obbligatorio e request body SearchParameters,
si ottiene 200 OK con response body ListResultTemplateASearchDTO</v>
      </c>
      <c r="E8" t="str">
        <f ca="1"/>
        <v>Tecnico</v>
      </c>
      <c r="F8">
        <f ca="1"/>
        <v>0</v>
      </c>
      <c r="G8" t="str">
        <f ca="1"/>
        <v>Tecnico</v>
      </c>
      <c r="H8" t="str">
        <f ca="1"/>
        <v>Integration</v>
      </c>
      <c r="I8" t="str">
        <f ca="1"/>
        <v>Coratti Giorgia</v>
      </c>
      <c r="J8">
        <f ca="1"/>
        <v>0</v>
      </c>
      <c r="K8">
        <f ca="1"/>
        <v>0</v>
      </c>
      <c r="M8" t="str">
        <f ca="1"/>
        <v>TC0007</v>
      </c>
    </row>
    <row r="9" spans="1:13" x14ac:dyDescent="0.25">
      <c r="A9" t="str">
        <f ca="1"/>
        <v>PRO240081\TestTecnici\ModernizzazionePortali\RiskEdq\ControlliSecondoLivello\TemplatesV1Controller</v>
      </c>
      <c r="B9">
        <f ca="1"/>
        <v>0</v>
      </c>
      <c r="D9" t="str">
        <f ca="1"/>
        <v>Lanciando la chiamata GET
/v1/riskaudit/{abi}/templates/templateB/waivers
con parametro di query non obbligatorio,
si ottiene 200 OK con response body un array di stringhe</v>
      </c>
      <c r="E9" t="str">
        <f ca="1"/>
        <v>Tecnico</v>
      </c>
      <c r="F9">
        <f ca="1"/>
        <v>0</v>
      </c>
      <c r="G9" t="str">
        <f ca="1"/>
        <v>Tecnico</v>
      </c>
      <c r="H9" t="str">
        <f ca="1"/>
        <v>Integration</v>
      </c>
      <c r="I9" t="str">
        <f ca="1"/>
        <v>Coratti Giorgia</v>
      </c>
      <c r="J9">
        <f ca="1"/>
        <v>0</v>
      </c>
      <c r="K9">
        <f ca="1"/>
        <v>0</v>
      </c>
      <c r="M9" t="str">
        <f ca="1"/>
        <v>TC0008</v>
      </c>
    </row>
    <row r="10" spans="1:13" x14ac:dyDescent="0.25">
      <c r="A10" t="str">
        <f ca="1"/>
        <v>PRO240081\TestTecnici\ModernizzazionePortali\RiskEdq\ControlliSecondoLivello\SummariesV1Controller</v>
      </c>
      <c r="B10">
        <f ca="1"/>
        <v>0</v>
      </c>
      <c r="D10" t="str">
        <f ca="1"/>
        <v>Lanciando la chiamata PUT
/v1/riskaudit/summaries/{summaryId}/answers
con query parameters non obbligatorio, header e request body SummaryUpdateDTO,
si ottiene 200 OK con response body SummaryUpdateDTO</v>
      </c>
      <c r="E10" t="str">
        <f ca="1"/>
        <v>Tecnico</v>
      </c>
      <c r="F10">
        <f ca="1"/>
        <v>0</v>
      </c>
      <c r="G10" t="str">
        <f ca="1"/>
        <v>Tecnico</v>
      </c>
      <c r="H10" t="str">
        <f ca="1"/>
        <v>Integration</v>
      </c>
      <c r="I10" t="str">
        <f ca="1"/>
        <v>Coratti Giorgia</v>
      </c>
      <c r="J10">
        <f ca="1"/>
        <v>0</v>
      </c>
      <c r="K10">
        <f ca="1"/>
        <v>0</v>
      </c>
      <c r="M10" t="str">
        <f ca="1"/>
        <v>TC0009</v>
      </c>
    </row>
    <row r="11" spans="1:13" x14ac:dyDescent="0.25">
      <c r="A11" t="str">
        <f ca="1"/>
        <v>PRO240081\TestTecnici\ModernizzazionePortali\RiskEdq\ControlliSecondoLivello\SummariesV1Controller</v>
      </c>
      <c r="B11">
        <f ca="1"/>
        <v>0</v>
      </c>
      <c r="D11" t="str">
        <f ca="1"/>
        <v>Lanciando la chiamata PUT
/v1/riskaudit/summaries/{subSectionId}/questions
con request body SubSectionQuestionsUpdateDTO,
si ottiene 200 OK con response body GenericResponse</v>
      </c>
      <c r="E11" t="str">
        <f ca="1"/>
        <v>Tecnico</v>
      </c>
      <c r="F11">
        <f ca="1"/>
        <v>0</v>
      </c>
      <c r="G11" t="str">
        <f ca="1"/>
        <v>Tecnico</v>
      </c>
      <c r="H11" t="str">
        <f ca="1"/>
        <v>Integration</v>
      </c>
      <c r="I11" t="str">
        <f ca="1"/>
        <v>Coratti Giorgia</v>
      </c>
      <c r="J11">
        <f ca="1"/>
        <v>0</v>
      </c>
      <c r="K11">
        <f ca="1"/>
        <v>0</v>
      </c>
      <c r="M11" t="str">
        <f ca="1"/>
        <v>TC0010</v>
      </c>
    </row>
    <row r="12" spans="1:13" x14ac:dyDescent="0.25">
      <c r="A12" t="str">
        <f ca="1"/>
        <v>PRO240081\TestTecnici\ModernizzazionePortali\RiskEdq\ControlliSecondoLivello\SummariesV1Controller</v>
      </c>
      <c r="B12">
        <f ca="1"/>
        <v>0</v>
      </c>
      <c r="D12" t="str">
        <f ca="1"/>
        <v>Lanciando la chiamata PUT
/v1/riskaudit/summaries/{subSectionId}/answers/{questionId}
con request body SubSectionAnswerUpdateDTO,
si ottiene 200 OK con response body GenericResponse</v>
      </c>
      <c r="E12" t="str">
        <f ca="1"/>
        <v>Tecnico</v>
      </c>
      <c r="F12">
        <f ca="1"/>
        <v>0</v>
      </c>
      <c r="G12" t="str">
        <f ca="1"/>
        <v>Tecnico</v>
      </c>
      <c r="H12" t="str">
        <f ca="1"/>
        <v>Integration</v>
      </c>
      <c r="I12" t="str">
        <f ca="1"/>
        <v>Coratti Giorgia</v>
      </c>
      <c r="J12">
        <f ca="1"/>
        <v>0</v>
      </c>
      <c r="K12">
        <f ca="1"/>
        <v>0</v>
      </c>
      <c r="M12" t="str">
        <f ca="1"/>
        <v>TC0011</v>
      </c>
    </row>
    <row r="13" spans="1:13" x14ac:dyDescent="0.25">
      <c r="A13" t="str">
        <f ca="1"/>
        <v>PRO240081\TestTecnici\ModernizzazionePortali\RiskEdq\ControlliSecondoLivello\SummariesV1Controller</v>
      </c>
      <c r="B13">
        <f ca="1"/>
        <v>0</v>
      </c>
      <c r="D13" t="str">
        <f ca="1"/>
        <v>Lanciando la chiamata PUT
/v1/riskaudit/summaries/{id}/note
con parametro di query obbligatorio e request body NoteUpdateDTO,
si ottiene 200 OK con response body GenericResponse</v>
      </c>
      <c r="E13" t="str">
        <f ca="1"/>
        <v>Tecnico</v>
      </c>
      <c r="F13">
        <f ca="1"/>
        <v>0</v>
      </c>
      <c r="G13" t="str">
        <f ca="1"/>
        <v>Tecnico</v>
      </c>
      <c r="H13" t="str">
        <f ca="1"/>
        <v>Integration</v>
      </c>
      <c r="I13" t="str">
        <f ca="1"/>
        <v>Coratti Giorgia</v>
      </c>
      <c r="J13">
        <f ca="1"/>
        <v>0</v>
      </c>
      <c r="K13">
        <f ca="1"/>
        <v>0</v>
      </c>
      <c r="M13" t="str">
        <f ca="1"/>
        <v>TC0012</v>
      </c>
    </row>
    <row r="14" spans="1:13" x14ac:dyDescent="0.25">
      <c r="A14" t="str">
        <f ca="1"/>
        <v>PRO240081\TestTecnici\ModernizzazionePortali\RiskEdq\ControlliSecondoLivello\SummariesV1Controller</v>
      </c>
      <c r="B14">
        <f ca="1"/>
        <v>0</v>
      </c>
      <c r="D14" t="str">
        <f ca="1"/>
        <v>Lanciando la chiamata PUT
/v1/riskaudit/summaries/state 
con query parameter non obbligatorio, header e request body StateUpdateDTO,
si ottiene 200 OK con response body GenericResponse</v>
      </c>
      <c r="E14" t="str">
        <f ca="1"/>
        <v>Tecnico</v>
      </c>
      <c r="F14">
        <f ca="1"/>
        <v>0</v>
      </c>
      <c r="G14" t="str">
        <f ca="1"/>
        <v>Tecnico</v>
      </c>
      <c r="H14" t="str">
        <f ca="1"/>
        <v>Integration</v>
      </c>
      <c r="I14" t="str">
        <f ca="1"/>
        <v>Coratti Giorgia</v>
      </c>
      <c r="J14">
        <f ca="1"/>
        <v>0</v>
      </c>
      <c r="K14">
        <f ca="1"/>
        <v>0</v>
      </c>
      <c r="M14" t="str">
        <f ca="1"/>
        <v>TC0013</v>
      </c>
    </row>
    <row r="15" spans="1:13" x14ac:dyDescent="0.25">
      <c r="A15" t="str">
        <f ca="1"/>
        <v>PRO240081\TestTecnici\ModernizzazionePortali\RiskEdq\ControlliSecondoLivello\SummariesV1Controller</v>
      </c>
      <c r="B15">
        <f ca="1"/>
        <v>0</v>
      </c>
      <c r="D15" t="str">
        <f ca="1"/>
        <v>Lanciando la chiamata POST
/v1/riskaudit/summaries
con header,
si ottiene 200 OK con response body SummariesCreateDTO</v>
      </c>
      <c r="E15" t="str">
        <f ca="1"/>
        <v>Tecnico</v>
      </c>
      <c r="F15">
        <f ca="1"/>
        <v>0</v>
      </c>
      <c r="G15" t="str">
        <f ca="1"/>
        <v>Tecnico</v>
      </c>
      <c r="H15" t="str">
        <f ca="1"/>
        <v>Integration</v>
      </c>
      <c r="I15" t="str">
        <f ca="1"/>
        <v>Coratti Giorgia</v>
      </c>
      <c r="J15">
        <f ca="1"/>
        <v>0</v>
      </c>
      <c r="K15">
        <f ca="1"/>
        <v>0</v>
      </c>
      <c r="M15" t="str">
        <f ca="1"/>
        <v>TC0014</v>
      </c>
    </row>
    <row r="16" spans="1:13" x14ac:dyDescent="0.25">
      <c r="A16" t="str">
        <f ca="1"/>
        <v>PRO240081\TestTecnici\ModernizzazionePortali\RiskEdq\ControlliSecondoLivello\SummariesV1Controller</v>
      </c>
      <c r="B16">
        <f ca="1"/>
        <v>0</v>
      </c>
      <c r="D16" t="str">
        <f ca="1"/>
        <v>Lanciando la chiamata POST
/v1/riskaudit/summaries/search
con parametro di query obbligatorio e request body SearchParameters,
si ottiene 200 OK con response body ListResultSummariesSearchDTO</v>
      </c>
      <c r="E16" t="str">
        <f ca="1"/>
        <v>Tecnico</v>
      </c>
      <c r="F16">
        <f ca="1"/>
        <v>0</v>
      </c>
      <c r="G16" t="str">
        <f ca="1"/>
        <v>Tecnico</v>
      </c>
      <c r="H16" t="str">
        <f ca="1"/>
        <v>Integration</v>
      </c>
      <c r="I16" t="str">
        <f ca="1"/>
        <v>Coratti Giorgia</v>
      </c>
      <c r="J16">
        <f ca="1"/>
        <v>0</v>
      </c>
      <c r="K16">
        <f ca="1"/>
        <v>0</v>
      </c>
      <c r="M16" t="str">
        <f ca="1"/>
        <v>TC0015</v>
      </c>
    </row>
    <row r="17" spans="1:13" x14ac:dyDescent="0.25">
      <c r="A17" t="str">
        <f ca="1"/>
        <v>PRO240081\TestTecnici\ModernizzazionePortali\RiskEdq\ControlliSecondoLivello\SummariesV1Controller</v>
      </c>
      <c r="B17">
        <f ca="1"/>
        <v>0</v>
      </c>
      <c r="D17" t="str">
        <f ca="1"/>
        <v>Lanciando la chiamata POST
/v1/riskaudit/summaries/publish
si ottiene 200 OK</v>
      </c>
      <c r="E17" t="str">
        <f ca="1"/>
        <v>Tecnico</v>
      </c>
      <c r="F17">
        <f ca="1"/>
        <v>0</v>
      </c>
      <c r="G17" t="str">
        <f ca="1"/>
        <v>Tecnico</v>
      </c>
      <c r="H17" t="str">
        <f ca="1"/>
        <v>Integration</v>
      </c>
      <c r="I17" t="str">
        <f ca="1"/>
        <v>Coratti Giorgia</v>
      </c>
      <c r="J17">
        <f ca="1"/>
        <v>0</v>
      </c>
      <c r="K17">
        <f ca="1"/>
        <v>0</v>
      </c>
      <c r="M17" t="str">
        <f ca="1"/>
        <v>TC0016</v>
      </c>
    </row>
    <row r="18" spans="1:13" x14ac:dyDescent="0.25">
      <c r="A18" t="str">
        <f ca="1"/>
        <v>PRO240081\TestTecnici\ModernizzazionePortali\RiskEdq\ControlliSecondoLivello\SummariesV1Controller</v>
      </c>
      <c r="B18">
        <f ca="1"/>
        <v>0</v>
      </c>
      <c r="D18" t="str">
        <f ca="1"/>
        <v>Lanciando la chiamata POST
/v1/riskaudit/summaries/export
con parametro di query obbligatorio e request body SearchParameters,
si ottiene 200 OK con response body un application/octet-stream</v>
      </c>
      <c r="E18" t="str">
        <f ca="1"/>
        <v>Tecnico</v>
      </c>
      <c r="F18">
        <f ca="1"/>
        <v>0</v>
      </c>
      <c r="G18" t="str">
        <f ca="1"/>
        <v>Tecnico</v>
      </c>
      <c r="H18" t="str">
        <f ca="1"/>
        <v>Integration</v>
      </c>
      <c r="I18" t="str">
        <f ca="1"/>
        <v>Coratti Giorgia</v>
      </c>
      <c r="J18">
        <f ca="1"/>
        <v>0</v>
      </c>
      <c r="K18">
        <f ca="1"/>
        <v>0</v>
      </c>
      <c r="M18" t="str">
        <f ca="1"/>
        <v>TC0017</v>
      </c>
    </row>
    <row r="19" spans="1:13" x14ac:dyDescent="0.25">
      <c r="A19" t="str">
        <f ca="1"/>
        <v>PRO240081\TestTecnici\ModernizzazionePortali\RiskEdq\ControlliSecondoLivello\SummariesV1Controller</v>
      </c>
      <c r="B19">
        <f ca="1"/>
        <v>0</v>
      </c>
      <c r="D19" t="str">
        <f ca="1"/>
        <v>Lanciando la chiamata GET
/v1/riskaudit/summaries/{id}
si ottiene 200 OK con response body SummaryDTO</v>
      </c>
      <c r="E19" t="str">
        <f ca="1"/>
        <v>Tecnico</v>
      </c>
      <c r="F19">
        <f ca="1"/>
        <v>0</v>
      </c>
      <c r="G19" t="str">
        <f ca="1"/>
        <v>Tecnico</v>
      </c>
      <c r="H19" t="str">
        <f ca="1"/>
        <v>Integration</v>
      </c>
      <c r="I19" t="str">
        <f ca="1"/>
        <v>Coratti Giorgia</v>
      </c>
      <c r="J19">
        <f ca="1"/>
        <v>0</v>
      </c>
      <c r="K19">
        <f ca="1"/>
        <v>0</v>
      </c>
      <c r="M19" t="str">
        <f ca="1"/>
        <v>TC0018</v>
      </c>
    </row>
    <row r="20" spans="1:13" x14ac:dyDescent="0.25">
      <c r="A20" t="str">
        <f ca="1"/>
        <v>PRO240081\TestTecnici\ModernizzazionePortali\RiskEdq\ControlliSecondoLivello\SummariesV1Controller</v>
      </c>
      <c r="B20">
        <f ca="1"/>
        <v>0</v>
      </c>
      <c r="D20" t="str">
        <f ca="1"/>
        <v>Lanciando la chiamata GET
/v1/riskaudit/summaries/{id}/print
si ottiene 200 OK con response body un pdf</v>
      </c>
      <c r="E20" t="str">
        <f ca="1"/>
        <v>Tecnico</v>
      </c>
      <c r="F20">
        <f ca="1"/>
        <v>0</v>
      </c>
      <c r="G20" t="str">
        <f ca="1"/>
        <v>Tecnico</v>
      </c>
      <c r="H20" t="str">
        <f ca="1"/>
        <v>Integration</v>
      </c>
      <c r="I20" t="str">
        <f ca="1"/>
        <v>Coratti Giorgia</v>
      </c>
      <c r="J20">
        <f ca="1"/>
        <v>0</v>
      </c>
      <c r="K20">
        <f ca="1"/>
        <v>0</v>
      </c>
      <c r="M20" t="str">
        <f ca="1"/>
        <v>TC0019</v>
      </c>
    </row>
    <row r="21" spans="1:13" x14ac:dyDescent="0.25">
      <c r="A21" t="str">
        <f ca="1"/>
        <v>PRO240081\TestTecnici\ModernizzazionePortali\RiskEdq\ControlliSecondoLivello\SummariesV1Controller</v>
      </c>
      <c r="B21">
        <f ca="1"/>
        <v>0</v>
      </c>
      <c r="D21" t="str">
        <f ca="1"/>
        <v>Lanciando la chiamata GET
/v1/riskaudit/summaries/subsections
si ottiene 200 OK con response body SubsectionItemDTO</v>
      </c>
      <c r="E21" t="str">
        <f ca="1"/>
        <v>Tecnico</v>
      </c>
      <c r="F21">
        <f ca="1"/>
        <v>0</v>
      </c>
      <c r="G21" t="str">
        <f ca="1"/>
        <v>Tecnico</v>
      </c>
      <c r="H21" t="str">
        <f ca="1"/>
        <v>Integration</v>
      </c>
      <c r="I21" t="str">
        <f ca="1"/>
        <v>Coratti Giorgia</v>
      </c>
      <c r="J21">
        <f ca="1"/>
        <v>0</v>
      </c>
      <c r="K21">
        <f ca="1"/>
        <v>0</v>
      </c>
      <c r="M21" t="str">
        <f ca="1"/>
        <v>TC0020</v>
      </c>
    </row>
    <row r="22" spans="1:13" x14ac:dyDescent="0.25">
      <c r="A22" t="str">
        <f ca="1"/>
        <v>PRO240081\TestTecnici\ModernizzazionePortali\RiskEdq\ControlliSecondoLivello\SummariesV1Controller</v>
      </c>
      <c r="B22">
        <f ca="1"/>
        <v>0</v>
      </c>
      <c r="D22" t="str">
        <f ca="1"/>
        <v>Lanciando la chiamata GET
/v1/riskaudit/summaries/stats
si ottiene 200 OK con reponse body StatsDTO</v>
      </c>
      <c r="E22" t="str">
        <f ca="1"/>
        <v>Tecnico</v>
      </c>
      <c r="F22">
        <f ca="1"/>
        <v>0</v>
      </c>
      <c r="G22" t="str">
        <f ca="1"/>
        <v>Tecnico</v>
      </c>
      <c r="H22" t="str">
        <f ca="1"/>
        <v>Integration</v>
      </c>
      <c r="I22" t="str">
        <f ca="1"/>
        <v>Coratti Giorgia</v>
      </c>
      <c r="J22">
        <f ca="1"/>
        <v>0</v>
      </c>
      <c r="K22">
        <f ca="1"/>
        <v>0</v>
      </c>
      <c r="M22" t="str">
        <f ca="1"/>
        <v>TC0021</v>
      </c>
    </row>
    <row r="23" spans="1:13" x14ac:dyDescent="0.25">
      <c r="A23" t="str">
        <f ca="1"/>
        <v>PRO240081\TestTecnici\ModernizzazionePortali\RiskEdq\ControlliSecondoLivello\SummariesV1Controller</v>
      </c>
      <c r="B23">
        <f ca="1"/>
        <v>0</v>
      </c>
      <c r="D23" t="str">
        <f ca="1"/>
        <v>Lanciando la chiamata GET
/v1/riskaudit/summaries/stats/{date}
si ottiene 200 OK con response body StatsDTO</v>
      </c>
      <c r="E23" t="str">
        <f ca="1"/>
        <v>Tecnico</v>
      </c>
      <c r="F23">
        <f ca="1"/>
        <v>0</v>
      </c>
      <c r="G23" t="str">
        <f ca="1"/>
        <v>Tecnico</v>
      </c>
      <c r="H23" t="str">
        <f ca="1"/>
        <v>Integration</v>
      </c>
      <c r="I23" t="str">
        <f ca="1"/>
        <v>Coratti Giorgia</v>
      </c>
      <c r="J23">
        <f ca="1"/>
        <v>0</v>
      </c>
      <c r="K23">
        <f ca="1"/>
        <v>0</v>
      </c>
      <c r="M23" t="str">
        <f ca="1"/>
        <v>TC0022</v>
      </c>
    </row>
    <row r="24" spans="1:13" x14ac:dyDescent="0.25">
      <c r="A24" t="str">
        <f ca="1"/>
        <v>PRO240081\TestTecnici\ModernizzazionePortali\RiskEdq\ControlliSecondoLivello\SummariesV1Controller</v>
      </c>
      <c r="B24">
        <f ca="1"/>
        <v>0</v>
      </c>
      <c r="D24" t="str">
        <f ca="1"/>
        <v>Lanciando la chiamata GET
/v1/riskaudit/summaries/logs
si ottiene 200 OK con response body LogDTO</v>
      </c>
      <c r="E24" t="str">
        <f ca="1"/>
        <v>Tecnico</v>
      </c>
      <c r="F24">
        <f ca="1"/>
        <v>0</v>
      </c>
      <c r="G24" t="str">
        <f ca="1"/>
        <v>Tecnico</v>
      </c>
      <c r="H24" t="str">
        <f ca="1"/>
        <v>Integration</v>
      </c>
      <c r="I24" t="str">
        <f ca="1"/>
        <v>Coratti Giorgia</v>
      </c>
      <c r="J24">
        <f ca="1"/>
        <v>0</v>
      </c>
      <c r="K24">
        <f ca="1"/>
        <v>0</v>
      </c>
      <c r="M24" t="str">
        <f ca="1"/>
        <v>TC0023</v>
      </c>
    </row>
    <row r="25" spans="1:13" x14ac:dyDescent="0.25">
      <c r="A25" t="str">
        <f ca="1"/>
        <v>PRO240081\TestTecnici\ModernizzazionePortali\RiskEdq\ControlliSecondoLivello\SummariesV1Controller</v>
      </c>
      <c r="B25">
        <f ca="1"/>
        <v>0</v>
      </c>
      <c r="D25" t="str">
        <f ca="1"/>
        <v>Lanciando la chiamata GET
/v1/riskaudit/summaries/answers/{subsectionId}
con parametro di query non obbligatorio,
si ottiene 200 OK con response body QuestionWithAnswerDTO</v>
      </c>
      <c r="E25" t="str">
        <f ca="1"/>
        <v>Tecnico</v>
      </c>
      <c r="F25">
        <f ca="1"/>
        <v>0</v>
      </c>
      <c r="G25" t="str">
        <f ca="1"/>
        <v>Tecnico</v>
      </c>
      <c r="H25" t="str">
        <f ca="1"/>
        <v>Integration</v>
      </c>
      <c r="I25" t="str">
        <f ca="1"/>
        <v>Coratti Giorgia</v>
      </c>
      <c r="J25">
        <f ca="1"/>
        <v>0</v>
      </c>
      <c r="K25">
        <f ca="1"/>
        <v>0</v>
      </c>
      <c r="M25" t="str">
        <f ca="1"/>
        <v>TC0024</v>
      </c>
    </row>
    <row r="26" spans="1:13" x14ac:dyDescent="0.25">
      <c r="A26" t="str">
        <f ca="1"/>
        <v>PRO240081\TestTecnici\ModernizzazionePortali\RiskEdq\ControlliSecondoLivello\ResultsV1Controller</v>
      </c>
      <c r="B26">
        <f ca="1"/>
        <v>0</v>
      </c>
      <c r="D26" t="str">
        <f ca="1"/>
        <v>Lanciando la chiamata GET
/v1/riskaudit/summaries/results
si ottiene 200 OK con response body 
ResultsItemDTO</v>
      </c>
      <c r="E26" t="str">
        <f ca="1"/>
        <v>Tecnico</v>
      </c>
      <c r="F26">
        <f ca="1"/>
        <v>0</v>
      </c>
      <c r="G26" t="str">
        <f ca="1"/>
        <v>Tecnico</v>
      </c>
      <c r="H26" t="str">
        <f ca="1"/>
        <v>Integration</v>
      </c>
      <c r="I26" t="str">
        <f ca="1"/>
        <v>Coratti Giorgia</v>
      </c>
      <c r="J26">
        <f ca="1"/>
        <v>0</v>
      </c>
      <c r="K26">
        <f ca="1"/>
        <v>0</v>
      </c>
      <c r="M26" t="str">
        <f ca="1"/>
        <v>TC0025</v>
      </c>
    </row>
    <row r="27" spans="1:13" x14ac:dyDescent="0.25">
      <c r="A27" t="str">
        <f ca="1"/>
        <v>PRO240081\TestTecnici\ModernizzazionePortali\RiskEdq\ControlliSecondoLivello\ResultsV1Controller</v>
      </c>
      <c r="B27">
        <f ca="1"/>
        <v>0</v>
      </c>
      <c r="D27" t="str">
        <f ca="1"/>
        <v>Lanciando la chiamata PUT
/v1/riskaudit/summaries/results
con request body ResultUpdateDTO,
si ottiene 200 OK con response body GenericResponse</v>
      </c>
      <c r="E27" t="str">
        <f ca="1"/>
        <v>Tecnico</v>
      </c>
      <c r="F27">
        <f ca="1"/>
        <v>0</v>
      </c>
      <c r="G27" t="str">
        <f ca="1"/>
        <v>Tecnico</v>
      </c>
      <c r="H27" t="str">
        <f ca="1"/>
        <v>Integration</v>
      </c>
      <c r="I27" t="str">
        <f ca="1"/>
        <v>Coratti Giorgia</v>
      </c>
      <c r="J27">
        <f ca="1"/>
        <v>0</v>
      </c>
      <c r="K27">
        <f ca="1"/>
        <v>0</v>
      </c>
      <c r="M27" t="str">
        <f ca="1"/>
        <v>TC0026</v>
      </c>
    </row>
    <row r="28" spans="1:13" x14ac:dyDescent="0.25">
      <c r="A28" t="str">
        <f ca="1"/>
        <v>PRO240081\TestTecnici\ModernizzazionePortali\RiskEdq\ControlliSecondoLivello\ResultsV1Controller</v>
      </c>
      <c r="B28">
        <f ca="1"/>
        <v>0</v>
      </c>
      <c r="D28" t="str">
        <f ca="1"/>
        <v>Lanciando la chiamata POST
/v1/riskaudit/summaries/results/search
con request body SearchParameters,
si ottiene 200 OK con response body
ListResultResultsSearchDTO</v>
      </c>
      <c r="E28" t="str">
        <f ca="1"/>
        <v>Tecnico</v>
      </c>
      <c r="F28">
        <f ca="1"/>
        <v>0</v>
      </c>
      <c r="G28" t="str">
        <f ca="1"/>
        <v>Tecnico</v>
      </c>
      <c r="H28" t="str">
        <f ca="1"/>
        <v>Integration</v>
      </c>
      <c r="I28" t="str">
        <f ca="1"/>
        <v>Coratti Giorgia</v>
      </c>
      <c r="J28">
        <f ca="1"/>
        <v>0</v>
      </c>
      <c r="K28">
        <f ca="1"/>
        <v>0</v>
      </c>
      <c r="M28" t="str">
        <f ca="1"/>
        <v>TC0027</v>
      </c>
    </row>
    <row r="29" spans="1:13" x14ac:dyDescent="0.25">
      <c r="A29" t="str">
        <f ca="1"/>
        <v>PRO240081\TestTecnici\ModernizzazionePortali\RiskEdq\ControlliSecondoLivello\WaiverV1Controller</v>
      </c>
      <c r="B29">
        <f ca="1"/>
        <v>0</v>
      </c>
      <c r="D29" t="str">
        <f ca="1"/>
        <v>Lanciando la chiamata POST
/v1/riskaudit/waiver/waiver/search
con request body SearchParameters,
si ottiene 200 OK con response body ListResultWaiverSearchDTO</v>
      </c>
      <c r="E29" t="str">
        <f ca="1"/>
        <v>Tecnico</v>
      </c>
      <c r="F29">
        <f ca="1"/>
        <v>0</v>
      </c>
      <c r="G29" t="str">
        <f ca="1"/>
        <v>Tecnico</v>
      </c>
      <c r="H29" t="str">
        <f ca="1"/>
        <v>Integration</v>
      </c>
      <c r="I29" t="str">
        <f ca="1"/>
        <v>Coratti Giorgia</v>
      </c>
      <c r="J29">
        <f ca="1"/>
        <v>0</v>
      </c>
      <c r="K29">
        <f ca="1"/>
        <v>0</v>
      </c>
      <c r="M29" t="str">
        <f ca="1"/>
        <v>TC0028</v>
      </c>
    </row>
    <row r="30" spans="1:13" x14ac:dyDescent="0.25">
      <c r="A30" t="str">
        <f ca="1"/>
        <v>PRO240081\TestTecnici\ModernizzazionePortali\RiskEdq\ControlliSecondoLivello\WaiverV1Controller</v>
      </c>
      <c r="B30">
        <f ca="1"/>
        <v>0</v>
      </c>
      <c r="D30" t="str">
        <f ca="1"/>
        <v>Lanciando la chiamata POST
/v1/riskaudit/waiver/target/search
con request body SearchParameters,
si ottiene 200 OK con response body ListResultTargetSearchDTO</v>
      </c>
      <c r="E30" t="str">
        <f ca="1"/>
        <v>Tecnico</v>
      </c>
      <c r="F30">
        <f ca="1"/>
        <v>0</v>
      </c>
      <c r="G30" t="str">
        <f ca="1"/>
        <v>Tecnico</v>
      </c>
      <c r="H30" t="str">
        <f ca="1"/>
        <v>Integration</v>
      </c>
      <c r="I30" t="str">
        <f ca="1"/>
        <v>Coratti Giorgia</v>
      </c>
      <c r="J30">
        <f ca="1"/>
        <v>0</v>
      </c>
      <c r="K30">
        <f ca="1"/>
        <v>0</v>
      </c>
      <c r="M30" t="str">
        <f ca="1"/>
        <v>TC0029</v>
      </c>
    </row>
    <row r="31" spans="1:13" x14ac:dyDescent="0.25">
      <c r="A31" t="str">
        <f ca="1"/>
        <v>PRO240081\TestTecnici\ModernizzazionePortali\RiskEdq\ControlliSecondoLivello\WaiverV1Controller</v>
      </c>
      <c r="B31">
        <f ca="1"/>
        <v>0</v>
      </c>
      <c r="D31" t="str">
        <f ca="1"/>
        <v>Lanciando la chiamata POST
/v1/riskaudit/waiver/cwmto/search
con request body SearchParameters,
si ottiene 200 OK con response body ListResultCwmtoSearchDTO</v>
      </c>
      <c r="E31" t="str">
        <f ca="1"/>
        <v>Tecnico</v>
      </c>
      <c r="F31">
        <f ca="1"/>
        <v>0</v>
      </c>
      <c r="G31" t="str">
        <f ca="1"/>
        <v>Tecnico</v>
      </c>
      <c r="H31" t="str">
        <f ca="1"/>
        <v>Integration</v>
      </c>
      <c r="I31" t="str">
        <f ca="1"/>
        <v>Coratti Giorgia</v>
      </c>
      <c r="J31">
        <f ca="1"/>
        <v>0</v>
      </c>
      <c r="K31">
        <f ca="1"/>
        <v>0</v>
      </c>
      <c r="M31" t="str">
        <f ca="1"/>
        <v>TC0030</v>
      </c>
    </row>
    <row r="32" spans="1:13" x14ac:dyDescent="0.25">
      <c r="A32" t="str">
        <f ca="1"/>
        <v>PRO240081\TestTecnici\ModernizzazionePortali\RiskEdq\ControlliSecondoLivello\WaiverV1Controller</v>
      </c>
      <c r="B32">
        <f ca="1"/>
        <v>0</v>
      </c>
      <c r="D32" t="str">
        <f ca="1"/>
        <v>Lanciando la chiamata GET
/v1/riskaudit/waiver/cwmto/assessments
si ottiene 200 OK con response body un array di stringhe</v>
      </c>
      <c r="E32" t="str">
        <f ca="1"/>
        <v>Tecnico</v>
      </c>
      <c r="F32">
        <f ca="1"/>
        <v>0</v>
      </c>
      <c r="G32" t="str">
        <f ca="1"/>
        <v>Tecnico</v>
      </c>
      <c r="H32" t="str">
        <f ca="1"/>
        <v>Integration</v>
      </c>
      <c r="I32" t="str">
        <f ca="1"/>
        <v>Coratti Giorgia</v>
      </c>
      <c r="J32">
        <f ca="1"/>
        <v>0</v>
      </c>
      <c r="K32">
        <f ca="1"/>
        <v>0</v>
      </c>
      <c r="M32" t="str">
        <f ca="1"/>
        <v>TC0031</v>
      </c>
    </row>
    <row r="33" spans="1:13" x14ac:dyDescent="0.25">
      <c r="A33" t="str">
        <f ca="1"/>
        <v>PRO240081\TestTecnici\ModernizzazionePortali\RiskEdq\ControlliSecondoLivello\LegalEntitiesV1Controller</v>
      </c>
      <c r="B33">
        <f ca="1"/>
        <v>0</v>
      </c>
      <c r="D33" t="str">
        <f ca="1"/>
        <v>Lanciando la chiamata POST
/v1/riskaudit/legalEntities/search
con request body SearchParameters,
si ottiene 200 OK con response body ListResultLegalEntityDTO</v>
      </c>
      <c r="E33" t="str">
        <f ca="1"/>
        <v>Tecnico</v>
      </c>
      <c r="F33">
        <f ca="1"/>
        <v>0</v>
      </c>
      <c r="G33" t="str">
        <f ca="1"/>
        <v>Tecnico</v>
      </c>
      <c r="H33" t="str">
        <f ca="1"/>
        <v>Integration</v>
      </c>
      <c r="I33" t="str">
        <f ca="1"/>
        <v>Coratti Giorgia</v>
      </c>
      <c r="J33">
        <f ca="1"/>
        <v>0</v>
      </c>
      <c r="K33">
        <f ca="1"/>
        <v>0</v>
      </c>
      <c r="M33" t="str">
        <f ca="1"/>
        <v>TC0032</v>
      </c>
    </row>
  </sheetData>
  <pageMargins left="0.7" right="0.7" top="0.75" bottom="0.75" header="0.3" footer="0.3"/>
  <headerFooter>
    <oddFooter>&amp;L_x000D_&amp;1#&amp;"Aptos"&amp;10&amp;K000000 Sensitivity: C1-Internal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11D02-E9BF-4752-B709-E488E07BBE92}">
  <dimension ref="A1:D16"/>
  <sheetViews>
    <sheetView zoomScale="145" zoomScaleNormal="145" workbookViewId="0">
      <selection activeCell="A4" sqref="A4"/>
    </sheetView>
  </sheetViews>
  <sheetFormatPr defaultRowHeight="15" x14ac:dyDescent="0.25"/>
  <cols>
    <col min="1" max="1" width="70.140625" bestFit="1" customWidth="1"/>
    <col min="2" max="2" width="33.42578125" bestFit="1" customWidth="1"/>
  </cols>
  <sheetData>
    <row r="1" spans="1:4" ht="16.5" thickBot="1" x14ac:dyDescent="0.3">
      <c r="A1" s="22" t="s">
        <v>30</v>
      </c>
      <c r="B1" s="23" t="s">
        <v>31</v>
      </c>
      <c r="C1" s="24" t="s">
        <v>32</v>
      </c>
      <c r="D1" s="25" t="s">
        <v>33</v>
      </c>
    </row>
    <row r="2" spans="1:4" x14ac:dyDescent="0.25">
      <c r="A2" s="26" t="str" cm="1">
        <f t="array" ref="A2:A15">ISA[Istanza Servizio Applicativo]</f>
        <v>ID001</v>
      </c>
      <c r="B2" s="27" cm="1">
        <f t="array" ref="B2:B15">COUNTIF(Funzionalità!C:C,_xlfn.ANCHORARRAY(A2))</f>
        <v>0</v>
      </c>
      <c r="C2" s="29" cm="1">
        <f t="array" ref="C2:C15">COUNTIFS(Funzionalità!$C:$C,_xlfn.ANCHORARRAY($A$2),Funzionalità!$K:$K,C$1)</f>
        <v>0</v>
      </c>
      <c r="D2" s="29" cm="1">
        <f t="array" ref="D2:D15">COUNTIFS(Funzionalità!$C:$C,_xlfn.ANCHORARRAY($A$2),Funzionalità!$K:$K,D$1)</f>
        <v>0</v>
      </c>
    </row>
    <row r="3" spans="1:4" x14ac:dyDescent="0.25">
      <c r="A3" s="13" t="str">
        <v>ID002</v>
      </c>
      <c r="B3" s="28">
        <v>0</v>
      </c>
      <c r="C3" s="29">
        <v>0</v>
      </c>
      <c r="D3" s="29">
        <v>0</v>
      </c>
    </row>
    <row r="4" spans="1:4" x14ac:dyDescent="0.25">
      <c r="A4" s="13">
        <v>0</v>
      </c>
      <c r="B4" s="28">
        <v>0</v>
      </c>
      <c r="C4" s="29">
        <v>0</v>
      </c>
      <c r="D4" s="29">
        <v>0</v>
      </c>
    </row>
    <row r="5" spans="1:4" x14ac:dyDescent="0.25">
      <c r="A5" s="13">
        <v>0</v>
      </c>
      <c r="B5" s="28">
        <v>0</v>
      </c>
      <c r="C5" s="29">
        <v>0</v>
      </c>
      <c r="D5" s="29">
        <v>0</v>
      </c>
    </row>
    <row r="6" spans="1:4" x14ac:dyDescent="0.25">
      <c r="A6" s="13">
        <v>0</v>
      </c>
      <c r="B6" s="28">
        <v>0</v>
      </c>
      <c r="C6" s="29">
        <v>0</v>
      </c>
      <c r="D6" s="29">
        <v>0</v>
      </c>
    </row>
    <row r="7" spans="1:4" x14ac:dyDescent="0.25">
      <c r="A7" s="13">
        <v>0</v>
      </c>
      <c r="B7" s="28">
        <v>0</v>
      </c>
      <c r="C7" s="29">
        <v>0</v>
      </c>
      <c r="D7" s="29">
        <v>0</v>
      </c>
    </row>
    <row r="8" spans="1:4" x14ac:dyDescent="0.25">
      <c r="A8" s="13">
        <v>0</v>
      </c>
      <c r="B8" s="28">
        <v>0</v>
      </c>
      <c r="C8" s="29">
        <v>0</v>
      </c>
      <c r="D8" s="29">
        <v>0</v>
      </c>
    </row>
    <row r="9" spans="1:4" x14ac:dyDescent="0.25">
      <c r="A9" s="13">
        <v>0</v>
      </c>
      <c r="B9" s="28">
        <v>0</v>
      </c>
      <c r="C9" s="29">
        <v>0</v>
      </c>
      <c r="D9" s="29">
        <v>0</v>
      </c>
    </row>
    <row r="10" spans="1:4" x14ac:dyDescent="0.25">
      <c r="A10" s="13">
        <v>0</v>
      </c>
      <c r="B10" s="28">
        <v>0</v>
      </c>
      <c r="C10" s="29">
        <v>0</v>
      </c>
      <c r="D10" s="29">
        <v>0</v>
      </c>
    </row>
    <row r="11" spans="1:4" x14ac:dyDescent="0.25">
      <c r="A11" s="13">
        <v>0</v>
      </c>
      <c r="B11" s="28">
        <v>0</v>
      </c>
      <c r="C11" s="29">
        <v>0</v>
      </c>
      <c r="D11" s="29">
        <v>0</v>
      </c>
    </row>
    <row r="12" spans="1:4" x14ac:dyDescent="0.25">
      <c r="A12" s="13">
        <v>0</v>
      </c>
      <c r="B12" s="28">
        <v>0</v>
      </c>
      <c r="C12" s="29">
        <v>0</v>
      </c>
      <c r="D12" s="29">
        <v>0</v>
      </c>
    </row>
    <row r="13" spans="1:4" x14ac:dyDescent="0.25">
      <c r="A13" s="13">
        <v>0</v>
      </c>
      <c r="B13" s="28">
        <v>0</v>
      </c>
      <c r="C13" s="29">
        <v>0</v>
      </c>
      <c r="D13" s="29">
        <v>0</v>
      </c>
    </row>
    <row r="14" spans="1:4" x14ac:dyDescent="0.25">
      <c r="A14" s="13">
        <v>0</v>
      </c>
      <c r="B14" s="28">
        <v>0</v>
      </c>
      <c r="C14" s="29">
        <v>0</v>
      </c>
      <c r="D14" s="29">
        <v>0</v>
      </c>
    </row>
    <row r="15" spans="1:4" ht="15.75" thickBot="1" x14ac:dyDescent="0.3">
      <c r="A15" s="13">
        <v>0</v>
      </c>
      <c r="B15" s="28">
        <v>0</v>
      </c>
      <c r="C15" s="29">
        <v>0</v>
      </c>
      <c r="D15" s="29">
        <v>0</v>
      </c>
    </row>
    <row r="16" spans="1:4" ht="21.75" thickBot="1" x14ac:dyDescent="0.35">
      <c r="A16" s="30" t="s">
        <v>34</v>
      </c>
      <c r="B16" s="31">
        <f>SUM(_xlfn.ANCHORARRAY(B2))</f>
        <v>0</v>
      </c>
      <c r="C16" s="31">
        <f t="shared" ref="C16:D16" si="0">SUM(_xlfn.ANCHORARRAY(C2))</f>
        <v>0</v>
      </c>
      <c r="D16" s="31">
        <f t="shared" si="0"/>
        <v>0</v>
      </c>
    </row>
  </sheetData>
  <pageMargins left="0.7" right="0.7" top="0.75" bottom="0.75" header="0.3" footer="0.3"/>
  <headerFooter>
    <oddFooter>&amp;L_x000D_&amp;1#&amp;"Aptos"&amp;10&amp;K000000 Sensitivity: C1-Internal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617FD-F329-4F75-A3AF-5E3F783013D8}">
  <dimension ref="A1:H15"/>
  <sheetViews>
    <sheetView zoomScale="145" zoomScaleNormal="145" workbookViewId="0">
      <selection activeCell="A4" sqref="A4"/>
    </sheetView>
  </sheetViews>
  <sheetFormatPr defaultRowHeight="15" x14ac:dyDescent="0.25"/>
  <cols>
    <col min="1" max="1" width="61.42578125" style="18" customWidth="1"/>
    <col min="2" max="2" width="20.85546875" style="20" customWidth="1"/>
    <col min="3" max="3" width="10.5703125" style="20" customWidth="1"/>
    <col min="4" max="4" width="22.7109375" style="20" customWidth="1"/>
    <col min="5" max="5" width="15.7109375" style="20" bestFit="1" customWidth="1"/>
    <col min="6" max="8" width="9.140625" style="20"/>
  </cols>
  <sheetData>
    <row r="1" spans="1:8" ht="45" x14ac:dyDescent="0.25">
      <c r="A1" s="14" t="s">
        <v>7</v>
      </c>
      <c r="B1" s="15" t="s">
        <v>10</v>
      </c>
      <c r="C1" s="14" t="s">
        <v>16</v>
      </c>
      <c r="D1" s="14" t="s">
        <v>17</v>
      </c>
      <c r="E1" s="15" t="s">
        <v>19</v>
      </c>
      <c r="F1" s="13"/>
      <c r="G1" s="13"/>
      <c r="H1" s="16" t="s">
        <v>35</v>
      </c>
    </row>
    <row r="2" spans="1:8" x14ac:dyDescent="0.25">
      <c r="A2" s="17" t="s">
        <v>23</v>
      </c>
      <c r="B2" s="18" t="s">
        <v>36</v>
      </c>
      <c r="C2" s="18" t="s">
        <v>37</v>
      </c>
      <c r="D2" s="19" t="s">
        <v>38</v>
      </c>
      <c r="E2" s="18" t="s">
        <v>39</v>
      </c>
      <c r="H2" s="32" t="s">
        <v>40</v>
      </c>
    </row>
    <row r="3" spans="1:8" x14ac:dyDescent="0.25">
      <c r="A3" s="21" t="s">
        <v>41</v>
      </c>
      <c r="B3" s="18" t="s">
        <v>42</v>
      </c>
      <c r="C3" s="18" t="s">
        <v>43</v>
      </c>
      <c r="D3" s="19" t="s">
        <v>44</v>
      </c>
      <c r="E3" s="18"/>
    </row>
    <row r="4" spans="1:8" x14ac:dyDescent="0.25">
      <c r="A4" s="38"/>
      <c r="B4" s="18"/>
      <c r="C4" s="18" t="s">
        <v>45</v>
      </c>
      <c r="E4" s="18"/>
    </row>
    <row r="5" spans="1:8" x14ac:dyDescent="0.25">
      <c r="A5" s="17"/>
      <c r="B5" s="18"/>
      <c r="C5" s="18" t="s">
        <v>46</v>
      </c>
      <c r="E5" s="18"/>
    </row>
    <row r="6" spans="1:8" x14ac:dyDescent="0.25">
      <c r="A6" s="17"/>
      <c r="B6" s="18"/>
    </row>
    <row r="7" spans="1:8" x14ac:dyDescent="0.25">
      <c r="A7" s="17"/>
      <c r="B7" s="18"/>
    </row>
    <row r="8" spans="1:8" x14ac:dyDescent="0.25">
      <c r="A8" s="17"/>
      <c r="B8" s="18"/>
    </row>
    <row r="9" spans="1:8" x14ac:dyDescent="0.25">
      <c r="A9" s="17"/>
      <c r="B9" s="18"/>
    </row>
    <row r="10" spans="1:8" x14ac:dyDescent="0.25">
      <c r="A10" s="17"/>
      <c r="B10" s="18"/>
    </row>
    <row r="11" spans="1:8" x14ac:dyDescent="0.25">
      <c r="A11" s="17"/>
      <c r="B11" s="18"/>
    </row>
    <row r="12" spans="1:8" x14ac:dyDescent="0.25">
      <c r="A12" s="17"/>
      <c r="B12" s="18"/>
    </row>
    <row r="13" spans="1:8" x14ac:dyDescent="0.25">
      <c r="A13" s="17"/>
      <c r="B13" s="18"/>
    </row>
    <row r="14" spans="1:8" x14ac:dyDescent="0.25">
      <c r="A14" s="17"/>
      <c r="B14" s="18"/>
    </row>
    <row r="15" spans="1:8" x14ac:dyDescent="0.25">
      <c r="A15" s="17"/>
      <c r="B15" s="18"/>
    </row>
  </sheetData>
  <pageMargins left="0.7" right="0.7" top="0.75" bottom="0.75" header="0.3" footer="0.3"/>
  <headerFooter>
    <oddFooter>&amp;L_x000D_&amp;1#&amp;"Aptos"&amp;10&amp;K000000 Sensitivity: C1-Internal</oddFooter>
  </headerFooter>
  <tableParts count="5">
    <tablePart r:id="rId1"/>
    <tablePart r:id="rId2"/>
    <tablePart r:id="rId3"/>
    <tablePart r:id="rId4"/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62D6EB26-62EC-4CDD-AF07-B2DFF664D667}">
            <xm:f>NOT(ISERROR(SEARCH("Done",D2)))</xm:f>
            <xm:f>"Done"</xm:f>
            <x14:dxf>
              <font>
                <b/>
                <i val="0"/>
                <color rgb="FF00B050"/>
              </font>
            </x14:dxf>
          </x14:cfRule>
          <x14:cfRule type="containsText" priority="2" operator="containsText" id="{B5A7DB56-63F6-4156-8669-1EF1F89EBF0F}">
            <xm:f>NOT(ISERROR(SEARCH("Draft",D2)))</xm:f>
            <xm:f>"Draft"</xm:f>
            <x14:dxf>
              <font>
                <b/>
                <i val="0"/>
                <color rgb="FFFF6600"/>
              </font>
            </x14:dxf>
          </x14:cfRule>
          <xm:sqref>D2:D3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21f59a13-6245-4f61-a854-229f6f993578" xsi:nil="true"/>
    <lcf76f155ced4ddcb4097134ff3c332f xmlns="21f59a13-6245-4f61-a854-229f6f993578">
      <Terms xmlns="http://schemas.microsoft.com/office/infopath/2007/PartnerControls"/>
    </lcf76f155ced4ddcb4097134ff3c332f>
    <TaxCatchAll xmlns="ef711595-ef4c-4f7a-9fe3-a970fe0baad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ECADFEDEC6866499B5138D8B66FC075" ma:contentTypeVersion="12" ma:contentTypeDescription="Creare un nuovo documento." ma:contentTypeScope="" ma:versionID="517c0968e993c744fe8cf29082ee0278">
  <xsd:schema xmlns:xsd="http://www.w3.org/2001/XMLSchema" xmlns:xs="http://www.w3.org/2001/XMLSchema" xmlns:p="http://schemas.microsoft.com/office/2006/metadata/properties" xmlns:ns2="21f59a13-6245-4f61-a854-229f6f993578" xmlns:ns3="ef711595-ef4c-4f7a-9fe3-a970fe0baad2" targetNamespace="http://schemas.microsoft.com/office/2006/metadata/properties" ma:root="true" ma:fieldsID="126fb6139bf2a866438441677251f4b5" ns2:_="" ns3:_="">
    <xsd:import namespace="21f59a13-6245-4f61-a854-229f6f993578"/>
    <xsd:import namespace="ef711595-ef4c-4f7a-9fe3-a970fe0baa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f59a13-6245-4f61-a854-229f6f9935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Tag immagine" ma:readOnly="false" ma:fieldId="{5cf76f15-5ced-4ddc-b409-7134ff3c332f}" ma:taxonomyMulti="true" ma:sspId="38717ee0-2267-4aad-bdb1-d697e710bb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11595-ef4c-4f7a-9fe3-a970fe0baad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d8c982f-20b4-4d6f-aa85-5841b227f416}" ma:internalName="TaxCatchAll" ma:showField="CatchAllData" ma:web="ef711595-ef4c-4f7a-9fe3-a970fe0baa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EBB94C-4A55-4577-9CE9-8743280A8306}">
  <ds:schemaRefs>
    <ds:schemaRef ds:uri="http://schemas.microsoft.com/office/2006/metadata/properties"/>
    <ds:schemaRef ds:uri="http://schemas.microsoft.com/office/infopath/2007/PartnerControls"/>
    <ds:schemaRef ds:uri="21f59a13-6245-4f61-a854-229f6f993578"/>
    <ds:schemaRef ds:uri="ef711595-ef4c-4f7a-9fe3-a970fe0baad2"/>
  </ds:schemaRefs>
</ds:datastoreItem>
</file>

<file path=customXml/itemProps2.xml><?xml version="1.0" encoding="utf-8"?>
<ds:datastoreItem xmlns:ds="http://schemas.openxmlformats.org/officeDocument/2006/customXml" ds:itemID="{EA4EE7C5-18F9-4F10-8C4E-82F66BE986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f59a13-6245-4f61-a854-229f6f993578"/>
    <ds:schemaRef ds:uri="ef711595-ef4c-4f7a-9fe3-a970fe0baa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6750710-8194-4324-9A6F-AF2332F3B49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f9646e7-a2b7-4055-b37c-fae88eceb046}" enabled="1" method="Privileged" siteId="{9bc3d1cd-55ca-4e13-b5a2-a9e9deaeba3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Test List</vt:lpstr>
      <vt:lpstr>Dubbi</vt:lpstr>
      <vt:lpstr>Design</vt:lpstr>
      <vt:lpstr>Funzionalità</vt:lpstr>
      <vt:lpstr>PTA</vt:lpstr>
      <vt:lpstr>Data Validation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Giorgia CORATTI</cp:lastModifiedBy>
  <cp:revision/>
  <dcterms:created xsi:type="dcterms:W3CDTF">2023-12-22T14:12:59Z</dcterms:created>
  <dcterms:modified xsi:type="dcterms:W3CDTF">2026-04-30T09:17:40Z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0x010100CECADFEDEC6866499B5138D8B66FC075</vt:lpwstr>
  </property>
  <property fmtid="{D5CDD505-2E9C-101B-9397-08002B2CF9AE}" pid="3" name="Order">
    <vt:r8>305500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